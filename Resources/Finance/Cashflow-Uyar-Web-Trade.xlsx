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Transacties" sheetId="2" state="visible" r:id="rId2"/>
    <sheet xmlns:r="http://schemas.openxmlformats.org/officeDocument/2006/relationships" name="Weekoverzicht" sheetId="3" state="visible" r:id="rId3"/>
    <sheet xmlns:r="http://schemas.openxmlformats.org/officeDocument/2006/relationships" name="Categorieen" sheetId="4" state="visible" r:id="rId4"/>
    <sheet xmlns:r="http://schemas.openxmlformats.org/officeDocument/2006/relationships" name="Prive terugbetalen" sheetId="5" state="visible" r:id="rId5"/>
    <sheet xmlns:r="http://schemas.openxmlformats.org/officeDocument/2006/relationships" name="Toelichting" sheetId="6" state="visible" r:id="rId6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#,##0.00 &quot;€&quot;;[RED]-#,##0.00 &quot;€&quot;;&quot;-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2E"/>
      <sz val="16"/>
    </font>
    <font>
      <name val="Arial"/>
      <i val="1"/>
      <color rgb="00666666"/>
      <sz val="10"/>
    </font>
    <font>
      <name val="Arial"/>
      <b val="1"/>
      <sz val="10"/>
    </font>
    <font>
      <name val="Arial"/>
      <b val="1"/>
      <color rgb="00B00020"/>
      <sz val="12"/>
    </font>
    <font>
      <name val="Arial"/>
      <b val="1"/>
      <color rgb="00B00020"/>
      <sz val="11"/>
    </font>
    <font>
      <name val="Arial"/>
      <b val="1"/>
      <color rgb="001F3A2E"/>
      <sz val="11"/>
    </font>
  </fonts>
  <fills count="6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FCE8E6"/>
      </patternFill>
    </fill>
    <fill>
      <patternFill patternType="solid">
        <fgColor rgb="00E6F4EA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6" fontId="2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6" fontId="7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3" borderId="1" pivotButton="0" quotePrefix="0" xfId="0"/>
    <xf numFmtId="0" fontId="2" fillId="3" borderId="1" pivotButton="0" quotePrefix="0" xfId="0"/>
    <xf numFmtId="166" fontId="2" fillId="3" borderId="1" pivotButton="0" quotePrefix="0" xfId="0"/>
    <xf numFmtId="165" fontId="2" fillId="4" borderId="1" pivotButton="0" quotePrefix="0" xfId="0"/>
    <xf numFmtId="0" fontId="2" fillId="4" borderId="1" pivotButton="0" quotePrefix="0" xfId="0"/>
    <xf numFmtId="0" fontId="2" fillId="0" borderId="1" pivotButton="0" quotePrefix="0" xfId="0"/>
    <xf numFmtId="166" fontId="2" fillId="4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5" fontId="2" fillId="0" borderId="0" pivotButton="0" quotePrefix="0" xfId="0"/>
    <xf numFmtId="166" fontId="5" fillId="5" borderId="0" pivotButton="0" quotePrefix="0" xfId="0"/>
    <xf numFmtId="0" fontId="1" fillId="2" borderId="0" pivotButton="0" quotePrefix="0" xfId="0"/>
    <xf numFmtId="166" fontId="5" fillId="0" borderId="0" pivotButton="0" quotePrefix="0" xfId="0"/>
    <xf numFmtId="166" fontId="6" fillId="3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ransacties" displayName="Transacties" ref="A1:N236" headerRowCount="1">
  <autoFilter ref="A1:N236"/>
  <tableColumns count="14">
    <tableColumn id="1" name="Datum"/>
    <tableColumn id="2" name="Week nr"/>
    <tableColumn id="3" name="Week-start"/>
    <tableColumn id="4" name="Maand"/>
    <tableColumn id="5" name="Richting"/>
    <tableColumn id="6" name="Omschrijving"/>
    <tableColumn id="7" name="Tegenpartij"/>
    <tableColumn id="8" name="Categorie"/>
    <tableColumn id="9" name="Prive/Zakelijk"/>
    <tableColumn id="10" name="Terugbetalen"/>
    <tableColumn id="11" name="Bedrag uit (€)"/>
    <tableColumn id="12" name="Bedrag in (€)"/>
    <tableColumn id="13" name="Origineel (valuta)"/>
    <tableColumn id="14" name="Notitie"/>
  </tableColumns>
  <tableStyleInfo name="TableStyleLight1" showFirstColumn="0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Cashflow Uyar Web &amp; Trade</t>
        </is>
      </c>
    </row>
    <row r="2">
      <c r="A2" s="2" t="inlineStr">
        <is>
          <t>Revolut Business  |  periode 10 mei t/m 24 juni 2026  |  alle bedragen in EUR</t>
        </is>
      </c>
    </row>
    <row r="4">
      <c r="A4" s="3" t="inlineStr">
        <is>
          <t>Totaal binnengekomen (alle inkomsten)</t>
        </is>
      </c>
      <c r="B4" s="4">
        <f>SUM(Transacties!L:L)</f>
        <v/>
      </c>
    </row>
    <row r="5">
      <c r="A5" s="5" t="inlineStr">
        <is>
          <t xml:space="preserve">  waarvan omzet (Stripe + Mollie)</t>
        </is>
      </c>
      <c r="B5" s="4">
        <f>SUMIF(Transacties!H:H,"Omzet",Transacties!L:L)</f>
        <v/>
      </c>
    </row>
    <row r="6">
      <c r="A6" s="5" t="inlineStr">
        <is>
          <t xml:space="preserve">  waarvan eigen inleg (jij stort terug)</t>
        </is>
      </c>
      <c r="B6" s="4">
        <f>SUMIF(Transacties!H:H,"Eigen inleg",Transacties!L:L)</f>
        <v/>
      </c>
    </row>
    <row r="8">
      <c r="A8" s="3" t="inlineStr">
        <is>
          <t>Totaal eruit (alle uitgaven)</t>
        </is>
      </c>
      <c r="B8" s="4">
        <f>SUM(Transacties!K:K)</f>
        <v/>
      </c>
    </row>
    <row r="9">
      <c r="A9" s="5" t="inlineStr">
        <is>
          <t xml:space="preserve">  waarvan zakelijk</t>
        </is>
      </c>
      <c r="B9" s="4">
        <f>SUMIF(Transacties!I:I,"Zakelijk",Transacties!K:K)</f>
        <v/>
      </c>
    </row>
    <row r="10">
      <c r="A10" s="5" t="inlineStr">
        <is>
          <t xml:space="preserve">  waarvan prive (door jou te dragen)</t>
        </is>
      </c>
      <c r="B10" s="4">
        <f>SUMIF(Transacties!I:I,"Prive",Transacties!K:K)</f>
        <v/>
      </c>
    </row>
    <row r="12">
      <c r="A12" s="3" t="inlineStr">
        <is>
          <t>Netto kasstroom (in - uit)</t>
        </is>
      </c>
      <c r="B12" s="4">
        <f>B4-B8</f>
        <v/>
      </c>
    </row>
    <row r="14">
      <c r="A14" s="6" t="inlineStr">
        <is>
          <t>PRIVE TERUG TE BETALEN AAN HET BEDRIJF</t>
        </is>
      </c>
    </row>
    <row r="15">
      <c r="A15" s="5" t="inlineStr">
        <is>
          <t>Prive uitgaven + opnames van zakelijke rekening</t>
        </is>
      </c>
      <c r="B15" s="4">
        <f>SUMIF(Transacties!I:I,"Prive",Transacties!K:K)</f>
        <v/>
      </c>
    </row>
    <row r="16">
      <c r="A16" s="5" t="inlineStr">
        <is>
          <t>Al teruggestort (eigen inleg)</t>
        </is>
      </c>
      <c r="B16" s="4">
        <f>SUMIF(Transacties!H:H,"Eigen inleg",Transacties!L:L)</f>
        <v/>
      </c>
    </row>
    <row r="17">
      <c r="A17" s="7" t="inlineStr">
        <is>
          <t>NOG TERUG TE BETALEN</t>
        </is>
      </c>
      <c r="B17" s="8">
        <f>B15-B16</f>
        <v/>
      </c>
    </row>
    <row r="19">
      <c r="A19" s="3" t="inlineStr">
        <is>
          <t>Controle met Revolut-statement (moet kloppen):</t>
        </is>
      </c>
    </row>
    <row r="20">
      <c r="A20" s="2" t="inlineStr">
        <is>
          <t xml:space="preserve">  Statement: Money in 102.382,04  /  Money out 93.727,99</t>
        </is>
      </c>
    </row>
    <row r="21">
      <c r="A21" s="2" t="inlineStr">
        <is>
          <t>Lees tabblad 'Toelichting' voor uitleg + de aannames.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1" customWidth="1" min="4" max="4"/>
    <col width="8" customWidth="1" min="5" max="5"/>
    <col width="30" customWidth="1" min="6" max="6"/>
    <col width="22" customWidth="1" min="7" max="7"/>
    <col width="20" customWidth="1" min="8" max="8"/>
    <col width="14" customWidth="1" min="9" max="9"/>
    <col width="16" customWidth="1" min="10" max="10"/>
    <col width="14" customWidth="1" min="11" max="11"/>
    <col width="14" customWidth="1" min="12" max="12"/>
    <col width="15" customWidth="1" min="13" max="13"/>
    <col width="30" customWidth="1" min="14" max="14"/>
  </cols>
  <sheetData>
    <row r="1">
      <c r="A1" s="9" t="inlineStr">
        <is>
          <t>Datum</t>
        </is>
      </c>
      <c r="B1" s="9" t="inlineStr">
        <is>
          <t>Week nr</t>
        </is>
      </c>
      <c r="C1" s="9" t="inlineStr">
        <is>
          <t>Week-start</t>
        </is>
      </c>
      <c r="D1" s="9" t="inlineStr">
        <is>
          <t>Maand</t>
        </is>
      </c>
      <c r="E1" s="9" t="inlineStr">
        <is>
          <t>Richting</t>
        </is>
      </c>
      <c r="F1" s="9" t="inlineStr">
        <is>
          <t>Omschrijving</t>
        </is>
      </c>
      <c r="G1" s="9" t="inlineStr">
        <is>
          <t>Tegenpartij</t>
        </is>
      </c>
      <c r="H1" s="9" t="inlineStr">
        <is>
          <t>Categorie</t>
        </is>
      </c>
      <c r="I1" s="9" t="inlineStr">
        <is>
          <t>Prive/Zakelijk</t>
        </is>
      </c>
      <c r="J1" s="9" t="inlineStr">
        <is>
          <t>Terugbetalen</t>
        </is>
      </c>
      <c r="K1" s="9" t="inlineStr">
        <is>
          <t>Bedrag uit (€)</t>
        </is>
      </c>
      <c r="L1" s="9" t="inlineStr">
        <is>
          <t>Bedrag in (€)</t>
        </is>
      </c>
      <c r="M1" s="9" t="inlineStr">
        <is>
          <t>Origineel (valuta)</t>
        </is>
      </c>
      <c r="N1" s="9" t="inlineStr">
        <is>
          <t>Notitie</t>
        </is>
      </c>
    </row>
    <row r="2">
      <c r="A2" s="10" t="n">
        <v>46197</v>
      </c>
      <c r="B2" s="11">
        <f>ISOWEEKNUM(A2)</f>
        <v/>
      </c>
      <c r="C2" s="10">
        <f>A2-WEEKDAY(A2,2)+1</f>
        <v/>
      </c>
      <c r="D2" s="11">
        <f>TEXT(A2,"mmm yyyy")</f>
        <v/>
      </c>
      <c r="E2" s="11" t="inlineStr">
        <is>
          <t>Uit</t>
        </is>
      </c>
      <c r="F2" s="11" t="inlineStr">
        <is>
          <t>Easyparknlcom</t>
        </is>
      </c>
      <c r="G2" s="11" t="inlineStr">
        <is>
          <t>Easypark</t>
        </is>
      </c>
      <c r="H2" s="11" t="inlineStr">
        <is>
          <t>Parkeren</t>
        </is>
      </c>
      <c r="I2" s="11" t="inlineStr">
        <is>
          <t>Prive</t>
        </is>
      </c>
      <c r="J2" s="11" t="inlineStr">
        <is>
          <t>Ja</t>
        </is>
      </c>
      <c r="K2" s="12" t="n">
        <v>3.21</v>
      </c>
      <c r="L2" s="11" t="n"/>
      <c r="M2" s="11" t="inlineStr"/>
      <c r="N2" s="11" t="inlineStr"/>
    </row>
    <row r="3">
      <c r="A3" s="13" t="n">
        <v>46197</v>
      </c>
      <c r="B3" s="14">
        <f>ISOWEEKNUM(A3)</f>
        <v/>
      </c>
      <c r="C3" s="13">
        <f>A3-WEEKDAY(A3,2)+1</f>
        <v/>
      </c>
      <c r="D3" s="14">
        <f>TEXT(A3,"mmm yyyy")</f>
        <v/>
      </c>
      <c r="E3" s="14" t="inlineStr">
        <is>
          <t>In</t>
        </is>
      </c>
      <c r="F3" s="14" t="inlineStr">
        <is>
          <t>Money added Stripe A5P0M0</t>
        </is>
      </c>
      <c r="G3" s="14" t="inlineStr">
        <is>
          <t>Stripe</t>
        </is>
      </c>
      <c r="H3" s="14" t="inlineStr">
        <is>
          <t>Omzet</t>
        </is>
      </c>
      <c r="I3" s="14" t="inlineStr">
        <is>
          <t>Zakelijk</t>
        </is>
      </c>
      <c r="J3" s="14" t="inlineStr">
        <is>
          <t>Nee</t>
        </is>
      </c>
      <c r="K3" s="15" t="n"/>
      <c r="L3" s="16" t="n">
        <v>1182.57</v>
      </c>
      <c r="M3" s="15" t="inlineStr"/>
      <c r="N3" s="14" t="inlineStr"/>
    </row>
    <row r="4">
      <c r="A4" s="17" t="n">
        <v>46196</v>
      </c>
      <c r="B4" s="15">
        <f>ISOWEEKNUM(A4)</f>
        <v/>
      </c>
      <c r="C4" s="17">
        <f>A4-WEEKDAY(A4,2)+1</f>
        <v/>
      </c>
      <c r="D4" s="15">
        <f>TEXT(A4,"mmm yyyy")</f>
        <v/>
      </c>
      <c r="E4" s="15" t="inlineStr">
        <is>
          <t>Uit</t>
        </is>
      </c>
      <c r="F4" s="15" t="inlineStr">
        <is>
          <t>Vercel Inc.</t>
        </is>
      </c>
      <c r="G4" s="15" t="inlineStr">
        <is>
          <t>Vercel</t>
        </is>
      </c>
      <c r="H4" s="15" t="inlineStr">
        <is>
          <t>Software &amp; Tools</t>
        </is>
      </c>
      <c r="I4" s="15" t="inlineStr">
        <is>
          <t>Zakelijk</t>
        </is>
      </c>
      <c r="J4" s="15" t="inlineStr">
        <is>
          <t>Nee</t>
        </is>
      </c>
      <c r="K4" s="18" t="n">
        <v>21.19</v>
      </c>
      <c r="L4" s="15" t="n"/>
      <c r="M4" s="15" t="inlineStr">
        <is>
          <t>$24.20</t>
        </is>
      </c>
      <c r="N4" s="15" t="inlineStr"/>
    </row>
    <row r="5">
      <c r="A5" s="17" t="n">
        <v>46196</v>
      </c>
      <c r="B5" s="15">
        <f>ISOWEEKNUM(A5)</f>
        <v/>
      </c>
      <c r="C5" s="17">
        <f>A5-WEEKDAY(A5,2)+1</f>
        <v/>
      </c>
      <c r="D5" s="15">
        <f>TEXT(A5,"mmm yyyy")</f>
        <v/>
      </c>
      <c r="E5" s="15" t="inlineStr">
        <is>
          <t>Uit</t>
        </is>
      </c>
      <c r="F5" s="15" t="inlineStr">
        <is>
          <t>Paypal it Service</t>
        </is>
      </c>
      <c r="G5" s="15" t="inlineStr">
        <is>
          <t>PayPal</t>
        </is>
      </c>
      <c r="H5" s="15" t="inlineStr">
        <is>
          <t>Software &amp; Tools</t>
        </is>
      </c>
      <c r="I5" s="15" t="inlineStr">
        <is>
          <t>Zakelijk</t>
        </is>
      </c>
      <c r="J5" s="15" t="inlineStr">
        <is>
          <t>Nee</t>
        </is>
      </c>
      <c r="K5" s="18" t="n">
        <v>2.61</v>
      </c>
      <c r="L5" s="15" t="n"/>
      <c r="M5" s="15" t="inlineStr">
        <is>
          <t>$2.99</t>
        </is>
      </c>
      <c r="N5" s="15" t="inlineStr"/>
    </row>
    <row r="6">
      <c r="A6" s="17" t="n">
        <v>46196</v>
      </c>
      <c r="B6" s="15">
        <f>ISOWEEKNUM(A6)</f>
        <v/>
      </c>
      <c r="C6" s="17">
        <f>A6-WEEKDAY(A6,2)+1</f>
        <v/>
      </c>
      <c r="D6" s="15">
        <f>TEXT(A6,"mmm yyyy")</f>
        <v/>
      </c>
      <c r="E6" s="15" t="inlineStr">
        <is>
          <t>Uit</t>
        </is>
      </c>
      <c r="F6" s="15" t="inlineStr">
        <is>
          <t>Commentguard.io</t>
        </is>
      </c>
      <c r="G6" s="15" t="inlineStr">
        <is>
          <t>Commentguard</t>
        </is>
      </c>
      <c r="H6" s="15" t="inlineStr">
        <is>
          <t>Software &amp; Tools</t>
        </is>
      </c>
      <c r="I6" s="15" t="inlineStr">
        <is>
          <t>Zakelijk</t>
        </is>
      </c>
      <c r="J6" s="15" t="inlineStr">
        <is>
          <t>Nee</t>
        </is>
      </c>
      <c r="K6" s="18" t="n">
        <v>30.63</v>
      </c>
      <c r="L6" s="15" t="n"/>
      <c r="M6" s="15" t="inlineStr">
        <is>
          <t>$35.09</t>
        </is>
      </c>
      <c r="N6" s="15" t="inlineStr"/>
    </row>
    <row r="7">
      <c r="A7" s="13" t="n">
        <v>46196</v>
      </c>
      <c r="B7" s="14">
        <f>ISOWEEKNUM(A7)</f>
        <v/>
      </c>
      <c r="C7" s="13">
        <f>A7-WEEKDAY(A7,2)+1</f>
        <v/>
      </c>
      <c r="D7" s="14">
        <f>TEXT(A7,"mmm yyyy")</f>
        <v/>
      </c>
      <c r="E7" s="14" t="inlineStr">
        <is>
          <t>In</t>
        </is>
      </c>
      <c r="F7" s="14" t="inlineStr">
        <is>
          <t>Money added Stripe T0T0P4</t>
        </is>
      </c>
      <c r="G7" s="14" t="inlineStr">
        <is>
          <t>Stripe</t>
        </is>
      </c>
      <c r="H7" s="14" t="inlineStr">
        <is>
          <t>Omzet</t>
        </is>
      </c>
      <c r="I7" s="14" t="inlineStr">
        <is>
          <t>Zakelijk</t>
        </is>
      </c>
      <c r="J7" s="14" t="inlineStr">
        <is>
          <t>Nee</t>
        </is>
      </c>
      <c r="K7" s="15" t="n"/>
      <c r="L7" s="16" t="n">
        <v>1684.8</v>
      </c>
      <c r="M7" s="15" t="inlineStr"/>
      <c r="N7" s="14" t="inlineStr"/>
    </row>
    <row r="8">
      <c r="A8" s="17" t="n">
        <v>46196</v>
      </c>
      <c r="B8" s="15">
        <f>ISOWEEKNUM(A8)</f>
        <v/>
      </c>
      <c r="C8" s="17">
        <f>A8-WEEKDAY(A8,2)+1</f>
        <v/>
      </c>
      <c r="D8" s="15">
        <f>TEXT(A8,"mmm yyyy")</f>
        <v/>
      </c>
      <c r="E8" s="15" t="inlineStr">
        <is>
          <t>Uit</t>
        </is>
      </c>
      <c r="F8" s="15" t="inlineStr">
        <is>
          <t>To HK Jinchenyun CD000749</t>
        </is>
      </c>
      <c r="G8" s="15" t="inlineStr">
        <is>
          <t>HK Jinchenyun</t>
        </is>
      </c>
      <c r="H8" s="15" t="inlineStr">
        <is>
          <t>Voorraad/Leverancier</t>
        </is>
      </c>
      <c r="I8" s="15" t="inlineStr">
        <is>
          <t>Zakelijk</t>
        </is>
      </c>
      <c r="J8" s="15" t="inlineStr">
        <is>
          <t>Nee</t>
        </is>
      </c>
      <c r="K8" s="18" t="n">
        <v>8000.2</v>
      </c>
      <c r="L8" s="15" t="n"/>
      <c r="M8" s="15" t="inlineStr"/>
      <c r="N8" s="15" t="inlineStr">
        <is>
          <t>incl. 0.20 fee</t>
        </is>
      </c>
    </row>
    <row r="9">
      <c r="A9" s="17" t="n">
        <v>46196</v>
      </c>
      <c r="B9" s="15">
        <f>ISOWEEKNUM(A9)</f>
        <v/>
      </c>
      <c r="C9" s="17">
        <f>A9-WEEKDAY(A9,2)+1</f>
        <v/>
      </c>
      <c r="D9" s="15">
        <f>TEXT(A9,"mmm yyyy")</f>
        <v/>
      </c>
      <c r="E9" s="15" t="inlineStr">
        <is>
          <t>Uit</t>
        </is>
      </c>
      <c r="F9" s="15" t="inlineStr">
        <is>
          <t>To Hiltermann Lease B.V.</t>
        </is>
      </c>
      <c r="G9" s="15" t="inlineStr">
        <is>
          <t>Hiltermann Lease</t>
        </is>
      </c>
      <c r="H9" s="15" t="inlineStr">
        <is>
          <t>Auto/Lease</t>
        </is>
      </c>
      <c r="I9" s="15" t="inlineStr">
        <is>
          <t>Zakelijk</t>
        </is>
      </c>
      <c r="J9" s="15" t="inlineStr">
        <is>
          <t>Nee</t>
        </is>
      </c>
      <c r="K9" s="18" t="n">
        <v>1779.5</v>
      </c>
      <c r="L9" s="15" t="n"/>
      <c r="M9" s="15" t="inlineStr"/>
      <c r="N9" s="15" t="inlineStr">
        <is>
          <t>Leasecontract - check prive/bijtelling</t>
        </is>
      </c>
    </row>
    <row r="10">
      <c r="A10" s="17" t="n">
        <v>46195</v>
      </c>
      <c r="B10" s="15">
        <f>ISOWEEKNUM(A10)</f>
        <v/>
      </c>
      <c r="C10" s="17">
        <f>A10-WEEKDAY(A10,2)+1</f>
        <v/>
      </c>
      <c r="D10" s="15">
        <f>TEXT(A10,"mmm yyyy")</f>
        <v/>
      </c>
      <c r="E10" s="15" t="inlineStr">
        <is>
          <t>Uit</t>
        </is>
      </c>
      <c r="F10" s="15" t="inlineStr">
        <is>
          <t>Checkify.pro</t>
        </is>
      </c>
      <c r="G10" s="15" t="inlineStr">
        <is>
          <t>Checkify.pro</t>
        </is>
      </c>
      <c r="H10" s="15" t="inlineStr">
        <is>
          <t>Software &amp; Tools</t>
        </is>
      </c>
      <c r="I10" s="15" t="inlineStr">
        <is>
          <t>Zakelijk</t>
        </is>
      </c>
      <c r="J10" s="15" t="inlineStr">
        <is>
          <t>Nee</t>
        </is>
      </c>
      <c r="K10" s="18" t="n">
        <v>37.07</v>
      </c>
      <c r="L10" s="15" t="n"/>
      <c r="M10" s="15" t="inlineStr"/>
      <c r="N10" s="15" t="inlineStr"/>
    </row>
    <row r="11">
      <c r="A11" s="10" t="n">
        <v>46195</v>
      </c>
      <c r="B11" s="11">
        <f>ISOWEEKNUM(A11)</f>
        <v/>
      </c>
      <c r="C11" s="10">
        <f>A11-WEEKDAY(A11,2)+1</f>
        <v/>
      </c>
      <c r="D11" s="11">
        <f>TEXT(A11,"mmm yyyy")</f>
        <v/>
      </c>
      <c r="E11" s="11" t="inlineStr">
        <is>
          <t>Uit</t>
        </is>
      </c>
      <c r="F11" s="11" t="inlineStr">
        <is>
          <t>Easyparknlcom</t>
        </is>
      </c>
      <c r="G11" s="11" t="inlineStr">
        <is>
          <t>Easypark</t>
        </is>
      </c>
      <c r="H11" s="11" t="inlineStr">
        <is>
          <t>Parkeren</t>
        </is>
      </c>
      <c r="I11" s="11" t="inlineStr">
        <is>
          <t>Prive</t>
        </is>
      </c>
      <c r="J11" s="11" t="inlineStr">
        <is>
          <t>Ja</t>
        </is>
      </c>
      <c r="K11" s="12" t="n">
        <v>3.27</v>
      </c>
      <c r="L11" s="11" t="n"/>
      <c r="M11" s="11" t="inlineStr"/>
      <c r="N11" s="11" t="inlineStr"/>
    </row>
    <row r="12">
      <c r="A12" s="17" t="n">
        <v>46195</v>
      </c>
      <c r="B12" s="15">
        <f>ISOWEEKNUM(A12)</f>
        <v/>
      </c>
      <c r="C12" s="17">
        <f>A12-WEEKDAY(A12,2)+1</f>
        <v/>
      </c>
      <c r="D12" s="15">
        <f>TEXT(A12,"mmm yyyy")</f>
        <v/>
      </c>
      <c r="E12" s="15" t="inlineStr">
        <is>
          <t>Uit</t>
        </is>
      </c>
      <c r="F12" s="15" t="inlineStr">
        <is>
          <t>Apple.com/bill</t>
        </is>
      </c>
      <c r="G12" s="15" t="inlineStr">
        <is>
          <t>Apple</t>
        </is>
      </c>
      <c r="H12" s="15" t="inlineStr">
        <is>
          <t>Software &amp; Tools</t>
        </is>
      </c>
      <c r="I12" s="15" t="inlineStr">
        <is>
          <t>Zakelijk</t>
        </is>
      </c>
      <c r="J12" s="15" t="inlineStr">
        <is>
          <t>Nee</t>
        </is>
      </c>
      <c r="K12" s="18" t="n">
        <v>10</v>
      </c>
      <c r="L12" s="15" t="n"/>
      <c r="M12" s="15" t="inlineStr"/>
      <c r="N12" s="15" t="inlineStr">
        <is>
          <t>Check prive</t>
        </is>
      </c>
    </row>
    <row r="13">
      <c r="A13" s="13" t="n">
        <v>46195</v>
      </c>
      <c r="B13" s="14">
        <f>ISOWEEKNUM(A13)</f>
        <v/>
      </c>
      <c r="C13" s="13">
        <f>A13-WEEKDAY(A13,2)+1</f>
        <v/>
      </c>
      <c r="D13" s="14">
        <f>TEXT(A13,"mmm yyyy")</f>
        <v/>
      </c>
      <c r="E13" s="14" t="inlineStr">
        <is>
          <t>In</t>
        </is>
      </c>
      <c r="F13" s="14" t="inlineStr">
        <is>
          <t>Money added Stripe Q8Y0Z5</t>
        </is>
      </c>
      <c r="G13" s="14" t="inlineStr">
        <is>
          <t>Stripe</t>
        </is>
      </c>
      <c r="H13" s="14" t="inlineStr">
        <is>
          <t>Omzet</t>
        </is>
      </c>
      <c r="I13" s="14" t="inlineStr">
        <is>
          <t>Zakelijk</t>
        </is>
      </c>
      <c r="J13" s="14" t="inlineStr">
        <is>
          <t>Nee</t>
        </is>
      </c>
      <c r="K13" s="15" t="n"/>
      <c r="L13" s="16" t="n">
        <v>2645.68</v>
      </c>
      <c r="M13" s="15" t="inlineStr"/>
      <c r="N13" s="14" t="inlineStr"/>
    </row>
    <row r="14">
      <c r="A14" s="17" t="n">
        <v>46194</v>
      </c>
      <c r="B14" s="15">
        <f>ISOWEEKNUM(A14)</f>
        <v/>
      </c>
      <c r="C14" s="17">
        <f>A14-WEEKDAY(A14,2)+1</f>
        <v/>
      </c>
      <c r="D14" s="15">
        <f>TEXT(A14,"mmm yyyy")</f>
        <v/>
      </c>
      <c r="E14" s="15" t="inlineStr">
        <is>
          <t>Uit</t>
        </is>
      </c>
      <c r="F14" s="15" t="inlineStr">
        <is>
          <t>To CC Ecommerce 0722</t>
        </is>
      </c>
      <c r="G14" s="15" t="inlineStr">
        <is>
          <t>CC Ecommerce Solutions</t>
        </is>
      </c>
      <c r="H14" s="15" t="inlineStr">
        <is>
          <t>Voorraad/Leverancier</t>
        </is>
      </c>
      <c r="I14" s="15" t="inlineStr">
        <is>
          <t>Zakelijk</t>
        </is>
      </c>
      <c r="J14" s="15" t="inlineStr">
        <is>
          <t>Nee</t>
        </is>
      </c>
      <c r="K14" s="18" t="n">
        <v>2600.2</v>
      </c>
      <c r="L14" s="15" t="n"/>
      <c r="M14" s="15" t="inlineStr"/>
      <c r="N14" s="15" t="inlineStr">
        <is>
          <t>incl. fee</t>
        </is>
      </c>
    </row>
    <row r="15">
      <c r="A15" s="17" t="n">
        <v>46194</v>
      </c>
      <c r="B15" s="15">
        <f>ISOWEEKNUM(A15)</f>
        <v/>
      </c>
      <c r="C15" s="17">
        <f>A15-WEEKDAY(A15,2)+1</f>
        <v/>
      </c>
      <c r="D15" s="15">
        <f>TEXT(A15,"mmm yyyy")</f>
        <v/>
      </c>
      <c r="E15" s="15" t="inlineStr">
        <is>
          <t>Uit</t>
        </is>
      </c>
      <c r="F15" s="15" t="inlineStr">
        <is>
          <t>Checkify.pro Subs Fees</t>
        </is>
      </c>
      <c r="G15" s="15" t="inlineStr">
        <is>
          <t>Checkify.pro</t>
        </is>
      </c>
      <c r="H15" s="15" t="inlineStr">
        <is>
          <t>Software &amp; Tools</t>
        </is>
      </c>
      <c r="I15" s="15" t="inlineStr">
        <is>
          <t>Zakelijk</t>
        </is>
      </c>
      <c r="J15" s="15" t="inlineStr">
        <is>
          <t>Nee</t>
        </is>
      </c>
      <c r="K15" s="18" t="n">
        <v>50.42</v>
      </c>
      <c r="L15" s="15" t="n"/>
      <c r="M15" s="15" t="inlineStr"/>
      <c r="N15" s="15" t="inlineStr"/>
    </row>
    <row r="16">
      <c r="A16" s="17" t="n">
        <v>46194</v>
      </c>
      <c r="B16" s="15">
        <f>ISOWEEKNUM(A16)</f>
        <v/>
      </c>
      <c r="C16" s="17">
        <f>A16-WEEKDAY(A16,2)+1</f>
        <v/>
      </c>
      <c r="D16" s="15">
        <f>TEXT(A16,"mmm yyyy")</f>
        <v/>
      </c>
      <c r="E16" s="15" t="inlineStr">
        <is>
          <t>Uit</t>
        </is>
      </c>
      <c r="F16" s="15" t="inlineStr">
        <is>
          <t>Dhgate.com</t>
        </is>
      </c>
      <c r="G16" s="15" t="inlineStr">
        <is>
          <t>DHgate</t>
        </is>
      </c>
      <c r="H16" s="15" t="inlineStr">
        <is>
          <t>Voorraad/Leverancier</t>
        </is>
      </c>
      <c r="I16" s="15" t="inlineStr">
        <is>
          <t>Zakelijk</t>
        </is>
      </c>
      <c r="J16" s="15" t="inlineStr">
        <is>
          <t>Nee</t>
        </is>
      </c>
      <c r="K16" s="18" t="n">
        <v>26.61</v>
      </c>
      <c r="L16" s="15" t="n"/>
      <c r="M16" s="15" t="inlineStr"/>
      <c r="N16" s="15" t="inlineStr"/>
    </row>
    <row r="17">
      <c r="A17" s="17" t="n">
        <v>46193</v>
      </c>
      <c r="B17" s="15">
        <f>ISOWEEKNUM(A17)</f>
        <v/>
      </c>
      <c r="C17" s="17">
        <f>A17-WEEKDAY(A17,2)+1</f>
        <v/>
      </c>
      <c r="D17" s="15">
        <f>TEXT(A17,"mmm yyyy")</f>
        <v/>
      </c>
      <c r="E17" s="15" t="inlineStr">
        <is>
          <t>Uit</t>
        </is>
      </c>
      <c r="F17" s="15" t="inlineStr">
        <is>
          <t>Klaviyo Inc Software</t>
        </is>
      </c>
      <c r="G17" s="15" t="inlineStr">
        <is>
          <t>Klaviyo</t>
        </is>
      </c>
      <c r="H17" s="15" t="inlineStr">
        <is>
          <t>Software &amp; Tools</t>
        </is>
      </c>
      <c r="I17" s="15" t="inlineStr">
        <is>
          <t>Zakelijk</t>
        </is>
      </c>
      <c r="J17" s="15" t="inlineStr">
        <is>
          <t>Nee</t>
        </is>
      </c>
      <c r="K17" s="18" t="n">
        <v>26.44</v>
      </c>
      <c r="L17" s="15" t="n"/>
      <c r="M17" s="15" t="inlineStr">
        <is>
          <t>$30.00</t>
        </is>
      </c>
      <c r="N17" s="15" t="inlineStr"/>
    </row>
    <row r="18">
      <c r="A18" s="17" t="n">
        <v>46193</v>
      </c>
      <c r="B18" s="15">
        <f>ISOWEEKNUM(A18)</f>
        <v/>
      </c>
      <c r="C18" s="17">
        <f>A18-WEEKDAY(A18,2)+1</f>
        <v/>
      </c>
      <c r="D18" s="15">
        <f>TEXT(A18,"mmm yyyy")</f>
        <v/>
      </c>
      <c r="E18" s="15" t="inlineStr">
        <is>
          <t>Uit</t>
        </is>
      </c>
      <c r="F18" s="15" t="inlineStr">
        <is>
          <t>Oxylabs</t>
        </is>
      </c>
      <c r="G18" s="15" t="inlineStr">
        <is>
          <t>Oxylabs</t>
        </is>
      </c>
      <c r="H18" s="15" t="inlineStr">
        <is>
          <t>Software &amp; Tools</t>
        </is>
      </c>
      <c r="I18" s="15" t="inlineStr">
        <is>
          <t>Zakelijk</t>
        </is>
      </c>
      <c r="J18" s="15" t="inlineStr">
        <is>
          <t>Nee</t>
        </is>
      </c>
      <c r="K18" s="18" t="n">
        <v>31.69</v>
      </c>
      <c r="L18" s="15" t="n"/>
      <c r="M18" s="15" t="inlineStr">
        <is>
          <t>$36.30</t>
        </is>
      </c>
      <c r="N18" s="15" t="inlineStr"/>
    </row>
    <row r="19">
      <c r="A19" s="10" t="n">
        <v>46193</v>
      </c>
      <c r="B19" s="11">
        <f>ISOWEEKNUM(A19)</f>
        <v/>
      </c>
      <c r="C19" s="10">
        <f>A19-WEEKDAY(A19,2)+1</f>
        <v/>
      </c>
      <c r="D19" s="11">
        <f>TEXT(A19,"mmm yyyy")</f>
        <v/>
      </c>
      <c r="E19" s="11" t="inlineStr">
        <is>
          <t>Uit</t>
        </is>
      </c>
      <c r="F19" s="11" t="inlineStr">
        <is>
          <t>Easyparknlcom</t>
        </is>
      </c>
      <c r="G19" s="11" t="inlineStr">
        <is>
          <t>Easypark</t>
        </is>
      </c>
      <c r="H19" s="11" t="inlineStr">
        <is>
          <t>Parkeren</t>
        </is>
      </c>
      <c r="I19" s="11" t="inlineStr">
        <is>
          <t>Prive</t>
        </is>
      </c>
      <c r="J19" s="11" t="inlineStr">
        <is>
          <t>Ja</t>
        </is>
      </c>
      <c r="K19" s="12" t="n">
        <v>3.27</v>
      </c>
      <c r="L19" s="11" t="n"/>
      <c r="M19" s="11" t="inlineStr"/>
      <c r="N19" s="11" t="inlineStr"/>
    </row>
    <row r="20">
      <c r="A20" s="10" t="n">
        <v>46193</v>
      </c>
      <c r="B20" s="11">
        <f>ISOWEEKNUM(A20)</f>
        <v/>
      </c>
      <c r="C20" s="10">
        <f>A20-WEEKDAY(A20,2)+1</f>
        <v/>
      </c>
      <c r="D20" s="11">
        <f>TEXT(A20,"mmm yyyy")</f>
        <v/>
      </c>
      <c r="E20" s="11" t="inlineStr">
        <is>
          <t>Uit</t>
        </is>
      </c>
      <c r="F20" s="11" t="inlineStr">
        <is>
          <t>Makara Amsterdam-west</t>
        </is>
      </c>
      <c r="G20" s="11" t="inlineStr">
        <is>
          <t>Makara</t>
        </is>
      </c>
      <c r="H20" s="11" t="inlineStr">
        <is>
          <t>Eten &amp; Restaurant</t>
        </is>
      </c>
      <c r="I20" s="11" t="inlineStr">
        <is>
          <t>Prive</t>
        </is>
      </c>
      <c r="J20" s="11" t="inlineStr">
        <is>
          <t>Ja</t>
        </is>
      </c>
      <c r="K20" s="12" t="n">
        <v>40</v>
      </c>
      <c r="L20" s="11" t="n"/>
      <c r="M20" s="11" t="inlineStr"/>
      <c r="N20" s="11" t="inlineStr">
        <is>
          <t>Restaurant</t>
        </is>
      </c>
    </row>
    <row r="21">
      <c r="A21" s="17" t="n">
        <v>46193</v>
      </c>
      <c r="B21" s="15">
        <f>ISOWEEKNUM(A21)</f>
        <v/>
      </c>
      <c r="C21" s="17">
        <f>A21-WEEKDAY(A21,2)+1</f>
        <v/>
      </c>
      <c r="D21" s="15">
        <f>TEXT(A21,"mmm yyyy")</f>
        <v/>
      </c>
      <c r="E21" s="15" t="inlineStr">
        <is>
          <t>Uit</t>
        </is>
      </c>
      <c r="F21" s="15" t="inlineStr">
        <is>
          <t>Shopify 546518278</t>
        </is>
      </c>
      <c r="G21" s="15" t="inlineStr">
        <is>
          <t>Shopify</t>
        </is>
      </c>
      <c r="H21" s="15" t="inlineStr">
        <is>
          <t>Software &amp; Tools</t>
        </is>
      </c>
      <c r="I21" s="15" t="inlineStr">
        <is>
          <t>Zakelijk</t>
        </is>
      </c>
      <c r="J21" s="15" t="inlineStr">
        <is>
          <t>Nee</t>
        </is>
      </c>
      <c r="K21" s="18" t="n">
        <v>69.67</v>
      </c>
      <c r="L21" s="15" t="n"/>
      <c r="M21" s="15" t="inlineStr"/>
      <c r="N21" s="15" t="inlineStr"/>
    </row>
    <row r="22">
      <c r="A22" s="10" t="n">
        <v>46193</v>
      </c>
      <c r="B22" s="11">
        <f>ISOWEEKNUM(A22)</f>
        <v/>
      </c>
      <c r="C22" s="10">
        <f>A22-WEEKDAY(A22,2)+1</f>
        <v/>
      </c>
      <c r="D22" s="11">
        <f>TEXT(A22,"mmm yyyy")</f>
        <v/>
      </c>
      <c r="E22" s="11" t="inlineStr">
        <is>
          <t>Uit</t>
        </is>
      </c>
      <c r="F22" s="11" t="inlineStr">
        <is>
          <t>Dm Drogerie Sagt Danke</t>
        </is>
      </c>
      <c r="G22" s="11" t="inlineStr">
        <is>
          <t>DM Drogerie</t>
        </is>
      </c>
      <c r="H22" s="11" t="inlineStr">
        <is>
          <t>Persoonlijk</t>
        </is>
      </c>
      <c r="I22" s="11" t="inlineStr">
        <is>
          <t>Prive</t>
        </is>
      </c>
      <c r="J22" s="11" t="inlineStr">
        <is>
          <t>Ja</t>
        </is>
      </c>
      <c r="K22" s="12" t="n">
        <v>24.2</v>
      </c>
      <c r="L22" s="11" t="n"/>
      <c r="M22" s="11" t="inlineStr"/>
      <c r="N22" s="11" t="inlineStr">
        <is>
          <t>Drogist (DE)</t>
        </is>
      </c>
    </row>
    <row r="23">
      <c r="A23" s="10" t="n">
        <v>46192</v>
      </c>
      <c r="B23" s="11">
        <f>ISOWEEKNUM(A23)</f>
        <v/>
      </c>
      <c r="C23" s="10">
        <f>A23-WEEKDAY(A23,2)+1</f>
        <v/>
      </c>
      <c r="D23" s="11">
        <f>TEXT(A23,"mmm yyyy")</f>
        <v/>
      </c>
      <c r="E23" s="11" t="inlineStr">
        <is>
          <t>Uit</t>
        </is>
      </c>
      <c r="F23" s="11" t="inlineStr">
        <is>
          <t>Haus Des Doeners</t>
        </is>
      </c>
      <c r="G23" s="11" t="inlineStr">
        <is>
          <t>Haus Des Doeners</t>
        </is>
      </c>
      <c r="H23" s="11" t="inlineStr">
        <is>
          <t>Eten &amp; Restaurant</t>
        </is>
      </c>
      <c r="I23" s="11" t="inlineStr">
        <is>
          <t>Prive</t>
        </is>
      </c>
      <c r="J23" s="11" t="inlineStr">
        <is>
          <t>Ja</t>
        </is>
      </c>
      <c r="K23" s="12" t="n">
        <v>20.5</v>
      </c>
      <c r="L23" s="11" t="n"/>
      <c r="M23" s="11" t="inlineStr"/>
      <c r="N23" s="11" t="inlineStr"/>
    </row>
    <row r="24">
      <c r="A24" s="10" t="n">
        <v>46192</v>
      </c>
      <c r="B24" s="11">
        <f>ISOWEEKNUM(A24)</f>
        <v/>
      </c>
      <c r="C24" s="10">
        <f>A24-WEEKDAY(A24,2)+1</f>
        <v/>
      </c>
      <c r="D24" s="11">
        <f>TEXT(A24,"mmm yyyy")</f>
        <v/>
      </c>
      <c r="E24" s="11" t="inlineStr">
        <is>
          <t>Uit</t>
        </is>
      </c>
      <c r="F24" s="11" t="inlineStr">
        <is>
          <t>Tamoil Enschede</t>
        </is>
      </c>
      <c r="G24" s="11" t="inlineStr">
        <is>
          <t>Tamoil</t>
        </is>
      </c>
      <c r="H24" s="11" t="inlineStr">
        <is>
          <t>Brandstof</t>
        </is>
      </c>
      <c r="I24" s="11" t="inlineStr">
        <is>
          <t>Prive</t>
        </is>
      </c>
      <c r="J24" s="11" t="inlineStr">
        <is>
          <t>Ja</t>
        </is>
      </c>
      <c r="K24" s="12" t="n">
        <v>24.99</v>
      </c>
      <c r="L24" s="11" t="n"/>
      <c r="M24" s="11" t="inlineStr"/>
      <c r="N24" s="11" t="inlineStr"/>
    </row>
    <row r="25">
      <c r="A25" s="10" t="n">
        <v>46192</v>
      </c>
      <c r="B25" s="11">
        <f>ISOWEEKNUM(A25)</f>
        <v/>
      </c>
      <c r="C25" s="10">
        <f>A25-WEEKDAY(A25,2)+1</f>
        <v/>
      </c>
      <c r="D25" s="11">
        <f>TEXT(A25,"mmm yyyy")</f>
        <v/>
      </c>
      <c r="E25" s="11" t="inlineStr">
        <is>
          <t>Uit</t>
        </is>
      </c>
      <c r="F25" s="11" t="inlineStr">
        <is>
          <t>Bck varo Energy Retail B.</t>
        </is>
      </c>
      <c r="G25" s="11" t="inlineStr">
        <is>
          <t>Varo Energy</t>
        </is>
      </c>
      <c r="H25" s="11" t="inlineStr">
        <is>
          <t>Brandstof</t>
        </is>
      </c>
      <c r="I25" s="11" t="inlineStr">
        <is>
          <t>Prive</t>
        </is>
      </c>
      <c r="J25" s="11" t="inlineStr">
        <is>
          <t>Ja</t>
        </is>
      </c>
      <c r="K25" s="12" t="n">
        <v>1</v>
      </c>
      <c r="L25" s="11" t="n"/>
      <c r="M25" s="11" t="inlineStr"/>
      <c r="N25" s="11" t="inlineStr"/>
    </row>
    <row r="26">
      <c r="A26" s="10" t="n">
        <v>46192</v>
      </c>
      <c r="B26" s="11">
        <f>ISOWEEKNUM(A26)</f>
        <v/>
      </c>
      <c r="C26" s="10">
        <f>A26-WEEKDAY(A26,2)+1</f>
        <v/>
      </c>
      <c r="D26" s="11">
        <f>TEXT(A26,"mmm yyyy")</f>
        <v/>
      </c>
      <c r="E26" s="11" t="inlineStr">
        <is>
          <t>Uit</t>
        </is>
      </c>
      <c r="F26" s="11" t="inlineStr">
        <is>
          <t>Bp De Bolder</t>
        </is>
      </c>
      <c r="G26" s="11" t="inlineStr">
        <is>
          <t>Bp De Bolder</t>
        </is>
      </c>
      <c r="H26" s="11" t="inlineStr">
        <is>
          <t>Eten &amp; Restaurant</t>
        </is>
      </c>
      <c r="I26" s="11" t="inlineStr">
        <is>
          <t>Prive</t>
        </is>
      </c>
      <c r="J26" s="11" t="inlineStr">
        <is>
          <t>Ja</t>
        </is>
      </c>
      <c r="K26" s="12" t="n">
        <v>12.02</v>
      </c>
      <c r="L26" s="11" t="n"/>
      <c r="M26" s="11" t="inlineStr"/>
      <c r="N26" s="11" t="inlineStr"/>
    </row>
    <row r="27">
      <c r="A27" s="10" t="n">
        <v>46192</v>
      </c>
      <c r="B27" s="11">
        <f>ISOWEEKNUM(A27)</f>
        <v/>
      </c>
      <c r="C27" s="10">
        <f>A27-WEEKDAY(A27,2)+1</f>
        <v/>
      </c>
      <c r="D27" s="11">
        <f>TEXT(A27,"mmm yyyy")</f>
        <v/>
      </c>
      <c r="E27" s="11" t="inlineStr">
        <is>
          <t>Uit</t>
        </is>
      </c>
      <c r="F27" s="11" t="inlineStr">
        <is>
          <t>Flughafen Duesseldorf</t>
        </is>
      </c>
      <c r="G27" s="11" t="inlineStr">
        <is>
          <t>Flughafen Dusseldorf</t>
        </is>
      </c>
      <c r="H27" s="11" t="inlineStr">
        <is>
          <t>Parkeren</t>
        </is>
      </c>
      <c r="I27" s="11" t="inlineStr">
        <is>
          <t>Prive</t>
        </is>
      </c>
      <c r="J27" s="11" t="inlineStr">
        <is>
          <t>Ja</t>
        </is>
      </c>
      <c r="K27" s="12" t="n">
        <v>8</v>
      </c>
      <c r="L27" s="11" t="n"/>
      <c r="M27" s="11" t="inlineStr"/>
      <c r="N27" s="11" t="inlineStr">
        <is>
          <t>Luchthaven (parkeren/reizen)</t>
        </is>
      </c>
    </row>
    <row r="28">
      <c r="A28" s="10" t="n">
        <v>46192</v>
      </c>
      <c r="B28" s="11">
        <f>ISOWEEKNUM(A28)</f>
        <v/>
      </c>
      <c r="C28" s="10">
        <f>A28-WEEKDAY(A28,2)+1</f>
        <v/>
      </c>
      <c r="D28" s="11">
        <f>TEXT(A28,"mmm yyyy")</f>
        <v/>
      </c>
      <c r="E28" s="11" t="inlineStr">
        <is>
          <t>Uit</t>
        </is>
      </c>
      <c r="F28" s="11" t="inlineStr">
        <is>
          <t>Shell Express Hilversum N</t>
        </is>
      </c>
      <c r="G28" s="11" t="inlineStr">
        <is>
          <t>Shell</t>
        </is>
      </c>
      <c r="H28" s="11" t="inlineStr">
        <is>
          <t>Brandstof</t>
        </is>
      </c>
      <c r="I28" s="11" t="inlineStr">
        <is>
          <t>Prive</t>
        </is>
      </c>
      <c r="J28" s="11" t="inlineStr">
        <is>
          <t>Ja</t>
        </is>
      </c>
      <c r="K28" s="12" t="n">
        <v>20.1</v>
      </c>
      <c r="L28" s="11" t="n"/>
      <c r="M28" s="11" t="inlineStr"/>
      <c r="N28" s="11" t="inlineStr"/>
    </row>
    <row r="29">
      <c r="A29" s="10" t="n">
        <v>46192</v>
      </c>
      <c r="B29" s="11">
        <f>ISOWEEKNUM(A29)</f>
        <v/>
      </c>
      <c r="C29" s="10">
        <f>A29-WEEKDAY(A29,2)+1</f>
        <v/>
      </c>
      <c r="D29" s="11">
        <f>TEXT(A29,"mmm yyyy")</f>
        <v/>
      </c>
      <c r="E29" s="11" t="inlineStr">
        <is>
          <t>Uit</t>
        </is>
      </c>
      <c r="F29" s="11" t="inlineStr">
        <is>
          <t>Cafe Femm</t>
        </is>
      </c>
      <c r="G29" s="11" t="inlineStr">
        <is>
          <t>Cafe Femm</t>
        </is>
      </c>
      <c r="H29" s="11" t="inlineStr">
        <is>
          <t>Eten &amp; Restaurant</t>
        </is>
      </c>
      <c r="I29" s="11" t="inlineStr">
        <is>
          <t>Prive</t>
        </is>
      </c>
      <c r="J29" s="11" t="inlineStr">
        <is>
          <t>Ja</t>
        </is>
      </c>
      <c r="K29" s="12" t="n">
        <v>14.9</v>
      </c>
      <c r="L29" s="11" t="n"/>
      <c r="M29" s="11" t="inlineStr"/>
      <c r="N29" s="11" t="inlineStr"/>
    </row>
    <row r="30">
      <c r="A30" s="17" t="n">
        <v>46192</v>
      </c>
      <c r="B30" s="15">
        <f>ISOWEEKNUM(A30)</f>
        <v/>
      </c>
      <c r="C30" s="17">
        <f>A30-WEEKDAY(A30,2)+1</f>
        <v/>
      </c>
      <c r="D30" s="15">
        <f>TEXT(A30,"mmm yyyy")</f>
        <v/>
      </c>
      <c r="E30" s="15" t="inlineStr">
        <is>
          <t>Uit</t>
        </is>
      </c>
      <c r="F30" s="15" t="inlineStr">
        <is>
          <t>Acs 05854834 Odido</t>
        </is>
      </c>
      <c r="G30" s="15" t="inlineStr">
        <is>
          <t>Odido</t>
        </is>
      </c>
      <c r="H30" s="15" t="inlineStr">
        <is>
          <t>Telefoon/Communicatie</t>
        </is>
      </c>
      <c r="I30" s="15" t="inlineStr">
        <is>
          <t>Zakelijk</t>
        </is>
      </c>
      <c r="J30" s="15" t="inlineStr">
        <is>
          <t>Nee</t>
        </is>
      </c>
      <c r="K30" s="18" t="n">
        <v>10</v>
      </c>
      <c r="L30" s="15" t="n"/>
      <c r="M30" s="15" t="inlineStr"/>
      <c r="N30" s="15" t="inlineStr">
        <is>
          <t>Telefoon - check prive</t>
        </is>
      </c>
    </row>
    <row r="31">
      <c r="A31" s="13" t="n">
        <v>46192</v>
      </c>
      <c r="B31" s="14">
        <f>ISOWEEKNUM(A31)</f>
        <v/>
      </c>
      <c r="C31" s="13">
        <f>A31-WEEKDAY(A31,2)+1</f>
        <v/>
      </c>
      <c r="D31" s="14">
        <f>TEXT(A31,"mmm yyyy")</f>
        <v/>
      </c>
      <c r="E31" s="14" t="inlineStr">
        <is>
          <t>In</t>
        </is>
      </c>
      <c r="F31" s="14" t="inlineStr">
        <is>
          <t>Money added Stripe T3H9S1</t>
        </is>
      </c>
      <c r="G31" s="14" t="inlineStr">
        <is>
          <t>Stripe</t>
        </is>
      </c>
      <c r="H31" s="14" t="inlineStr">
        <is>
          <t>Omzet</t>
        </is>
      </c>
      <c r="I31" s="14" t="inlineStr">
        <is>
          <t>Zakelijk</t>
        </is>
      </c>
      <c r="J31" s="14" t="inlineStr">
        <is>
          <t>Nee</t>
        </is>
      </c>
      <c r="K31" s="15" t="n"/>
      <c r="L31" s="16" t="n">
        <v>2558.93</v>
      </c>
      <c r="M31" s="15" t="inlineStr"/>
      <c r="N31" s="14" t="inlineStr"/>
    </row>
    <row r="32">
      <c r="A32" s="10" t="n">
        <v>46191</v>
      </c>
      <c r="B32" s="11">
        <f>ISOWEEKNUM(A32)</f>
        <v/>
      </c>
      <c r="C32" s="10">
        <f>A32-WEEKDAY(A32,2)+1</f>
        <v/>
      </c>
      <c r="D32" s="11">
        <f>TEXT(A32,"mmm yyyy")</f>
        <v/>
      </c>
      <c r="E32" s="11" t="inlineStr">
        <is>
          <t>Uit</t>
        </is>
      </c>
      <c r="F32" s="11" t="inlineStr">
        <is>
          <t>Esso Maartensdijk Ni</t>
        </is>
      </c>
      <c r="G32" s="11" t="inlineStr">
        <is>
          <t>Esso</t>
        </is>
      </c>
      <c r="H32" s="11" t="inlineStr">
        <is>
          <t>Brandstof</t>
        </is>
      </c>
      <c r="I32" s="11" t="inlineStr">
        <is>
          <t>Prive</t>
        </is>
      </c>
      <c r="J32" s="11" t="inlineStr">
        <is>
          <t>Ja</t>
        </is>
      </c>
      <c r="K32" s="12" t="n">
        <v>5</v>
      </c>
      <c r="L32" s="11" t="n"/>
      <c r="M32" s="11" t="inlineStr"/>
      <c r="N32" s="11" t="inlineStr"/>
    </row>
    <row r="33">
      <c r="A33" s="10" t="n">
        <v>46191</v>
      </c>
      <c r="B33" s="11">
        <f>ISOWEEKNUM(A33)</f>
        <v/>
      </c>
      <c r="C33" s="10">
        <f>A33-WEEKDAY(A33,2)+1</f>
        <v/>
      </c>
      <c r="D33" s="11">
        <f>TEXT(A33,"mmm yyyy")</f>
        <v/>
      </c>
      <c r="E33" s="11" t="inlineStr">
        <is>
          <t>Uit</t>
        </is>
      </c>
      <c r="F33" s="11" t="inlineStr">
        <is>
          <t>Bck roebert Tankstations</t>
        </is>
      </c>
      <c r="G33" s="11" t="inlineStr">
        <is>
          <t>Roebert Tankstations</t>
        </is>
      </c>
      <c r="H33" s="11" t="inlineStr">
        <is>
          <t>Brandstof</t>
        </is>
      </c>
      <c r="I33" s="11" t="inlineStr">
        <is>
          <t>Prive</t>
        </is>
      </c>
      <c r="J33" s="11" t="inlineStr">
        <is>
          <t>Ja</t>
        </is>
      </c>
      <c r="K33" s="12" t="n">
        <v>5</v>
      </c>
      <c r="L33" s="11" t="n"/>
      <c r="M33" s="11" t="inlineStr"/>
      <c r="N33" s="11" t="inlineStr"/>
    </row>
    <row r="34">
      <c r="A34" s="10" t="n">
        <v>46191</v>
      </c>
      <c r="B34" s="11">
        <f>ISOWEEKNUM(A34)</f>
        <v/>
      </c>
      <c r="C34" s="10">
        <f>A34-WEEKDAY(A34,2)+1</f>
        <v/>
      </c>
      <c r="D34" s="11">
        <f>TEXT(A34,"mmm yyyy")</f>
        <v/>
      </c>
      <c r="E34" s="11" t="inlineStr">
        <is>
          <t>Uit</t>
        </is>
      </c>
      <c r="F34" s="11" t="inlineStr">
        <is>
          <t>Mm Leidsche Rijn</t>
        </is>
      </c>
      <c r="G34" s="11" t="inlineStr">
        <is>
          <t>MM Leidsche Rijn</t>
        </is>
      </c>
      <c r="H34" s="11" t="inlineStr">
        <is>
          <t>Boodschappen</t>
        </is>
      </c>
      <c r="I34" s="11" t="inlineStr">
        <is>
          <t>Prive</t>
        </is>
      </c>
      <c r="J34" s="11" t="inlineStr">
        <is>
          <t>Ja</t>
        </is>
      </c>
      <c r="K34" s="12" t="n">
        <v>32.89</v>
      </c>
      <c r="L34" s="11" t="n"/>
      <c r="M34" s="11" t="inlineStr"/>
      <c r="N34" s="11" t="inlineStr">
        <is>
          <t>Verifieer</t>
        </is>
      </c>
    </row>
    <row r="35">
      <c r="A35" s="10" t="n">
        <v>46191</v>
      </c>
      <c r="B35" s="11">
        <f>ISOWEEKNUM(A35)</f>
        <v/>
      </c>
      <c r="C35" s="10">
        <f>A35-WEEKDAY(A35,2)+1</f>
        <v/>
      </c>
      <c r="D35" s="11">
        <f>TEXT(A35,"mmm yyyy")</f>
        <v/>
      </c>
      <c r="E35" s="11" t="inlineStr">
        <is>
          <t>Uit</t>
        </is>
      </c>
      <c r="F35" s="11" t="inlineStr">
        <is>
          <t>Easyparknlcom</t>
        </is>
      </c>
      <c r="G35" s="11" t="inlineStr">
        <is>
          <t>Easypark</t>
        </is>
      </c>
      <c r="H35" s="11" t="inlineStr">
        <is>
          <t>Parkeren</t>
        </is>
      </c>
      <c r="I35" s="11" t="inlineStr">
        <is>
          <t>Prive</t>
        </is>
      </c>
      <c r="J35" s="11" t="inlineStr">
        <is>
          <t>Ja</t>
        </is>
      </c>
      <c r="K35" s="12" t="n">
        <v>1.66</v>
      </c>
      <c r="L35" s="11" t="n"/>
      <c r="M35" s="11" t="inlineStr"/>
      <c r="N35" s="11" t="inlineStr"/>
    </row>
    <row r="36">
      <c r="A36" s="10" t="n">
        <v>46191</v>
      </c>
      <c r="B36" s="11">
        <f>ISOWEEKNUM(A36)</f>
        <v/>
      </c>
      <c r="C36" s="10">
        <f>A36-WEEKDAY(A36,2)+1</f>
        <v/>
      </c>
      <c r="D36" s="11">
        <f>TEXT(A36,"mmm yyyy")</f>
        <v/>
      </c>
      <c r="E36" s="11" t="inlineStr">
        <is>
          <t>Uit</t>
        </is>
      </c>
      <c r="F36" s="11" t="inlineStr">
        <is>
          <t>To Talat Uyar Prive</t>
        </is>
      </c>
      <c r="G36" s="11" t="inlineStr">
        <is>
          <t>Talat (prive)</t>
        </is>
      </c>
      <c r="H36" s="11" t="inlineStr">
        <is>
          <t>Prive-opname</t>
        </is>
      </c>
      <c r="I36" s="11" t="inlineStr">
        <is>
          <t>Prive</t>
        </is>
      </c>
      <c r="J36" s="11" t="inlineStr">
        <is>
          <t>Ja</t>
        </is>
      </c>
      <c r="K36" s="12" t="n">
        <v>166</v>
      </c>
      <c r="L36" s="11" t="n"/>
      <c r="M36" s="11" t="inlineStr"/>
      <c r="N36" s="11" t="inlineStr"/>
    </row>
    <row r="37">
      <c r="A37" s="13" t="n">
        <v>46191</v>
      </c>
      <c r="B37" s="14">
        <f>ISOWEEKNUM(A37)</f>
        <v/>
      </c>
      <c r="C37" s="13">
        <f>A37-WEEKDAY(A37,2)+1</f>
        <v/>
      </c>
      <c r="D37" s="14">
        <f>TEXT(A37,"mmm yyyy")</f>
        <v/>
      </c>
      <c r="E37" s="14" t="inlineStr">
        <is>
          <t>In</t>
        </is>
      </c>
      <c r="F37" s="14" t="inlineStr">
        <is>
          <t>Money added Stripe S4J5K4</t>
        </is>
      </c>
      <c r="G37" s="14" t="inlineStr">
        <is>
          <t>Stripe</t>
        </is>
      </c>
      <c r="H37" s="14" t="inlineStr">
        <is>
          <t>Omzet</t>
        </is>
      </c>
      <c r="I37" s="14" t="inlineStr">
        <is>
          <t>Zakelijk</t>
        </is>
      </c>
      <c r="J37" s="14" t="inlineStr">
        <is>
          <t>Nee</t>
        </is>
      </c>
      <c r="K37" s="15" t="n"/>
      <c r="L37" s="16" t="n">
        <v>8812.139999999999</v>
      </c>
      <c r="M37" s="15" t="inlineStr"/>
      <c r="N37" s="14" t="inlineStr"/>
    </row>
    <row r="38">
      <c r="A38" s="17" t="n">
        <v>46191</v>
      </c>
      <c r="B38" s="15">
        <f>ISOWEEKNUM(A38)</f>
        <v/>
      </c>
      <c r="C38" s="17">
        <f>A38-WEEKDAY(A38,2)+1</f>
        <v/>
      </c>
      <c r="D38" s="15">
        <f>TEXT(A38,"mmm yyyy")</f>
        <v/>
      </c>
      <c r="E38" s="15" t="inlineStr">
        <is>
          <t>Uit</t>
        </is>
      </c>
      <c r="F38" s="15" t="inlineStr">
        <is>
          <t>To Goatly VITAL NAD+ via Stripe</t>
        </is>
      </c>
      <c r="G38" s="15" t="inlineStr">
        <is>
          <t>Goatly</t>
        </is>
      </c>
      <c r="H38" s="15" t="inlineStr">
        <is>
          <t>Overig</t>
        </is>
      </c>
      <c r="I38" s="15" t="inlineStr">
        <is>
          <t>Zakelijk</t>
        </is>
      </c>
      <c r="J38" s="15" t="inlineStr">
        <is>
          <t>Nee</t>
        </is>
      </c>
      <c r="K38" s="18" t="n">
        <v>23.97</v>
      </c>
      <c r="L38" s="15" t="n"/>
      <c r="M38" s="15" t="inlineStr"/>
      <c r="N38" s="15" t="inlineStr">
        <is>
          <t>Goatly/NAD+ - verifieer</t>
        </is>
      </c>
    </row>
    <row r="39">
      <c r="A39" s="17" t="n">
        <v>46190</v>
      </c>
      <c r="B39" s="15">
        <f>ISOWEEKNUM(A39)</f>
        <v/>
      </c>
      <c r="C39" s="17">
        <f>A39-WEEKDAY(A39,2)+1</f>
        <v/>
      </c>
      <c r="D39" s="15">
        <f>TEXT(A39,"mmm yyyy")</f>
        <v/>
      </c>
      <c r="E39" s="15" t="inlineStr">
        <is>
          <t>Uit</t>
        </is>
      </c>
      <c r="F39" s="15" t="inlineStr">
        <is>
          <t>Railway</t>
        </is>
      </c>
      <c r="G39" s="15" t="inlineStr">
        <is>
          <t>Railway</t>
        </is>
      </c>
      <c r="H39" s="15" t="inlineStr">
        <is>
          <t>Software &amp; Tools</t>
        </is>
      </c>
      <c r="I39" s="15" t="inlineStr">
        <is>
          <t>Zakelijk</t>
        </is>
      </c>
      <c r="J39" s="15" t="inlineStr">
        <is>
          <t>Nee</t>
        </is>
      </c>
      <c r="K39" s="18" t="n">
        <v>4.31</v>
      </c>
      <c r="L39" s="15" t="n"/>
      <c r="M39" s="15" t="inlineStr">
        <is>
          <t>$5.00</t>
        </is>
      </c>
      <c r="N39" s="15" t="inlineStr">
        <is>
          <t>Hosting/infra</t>
        </is>
      </c>
    </row>
    <row r="40">
      <c r="A40" s="10" t="n">
        <v>46190</v>
      </c>
      <c r="B40" s="11">
        <f>ISOWEEKNUM(A40)</f>
        <v/>
      </c>
      <c r="C40" s="10">
        <f>A40-WEEKDAY(A40,2)+1</f>
        <v/>
      </c>
      <c r="D40" s="11">
        <f>TEXT(A40,"mmm yyyy")</f>
        <v/>
      </c>
      <c r="E40" s="11" t="inlineStr">
        <is>
          <t>Uit</t>
        </is>
      </c>
      <c r="F40" s="11" t="inlineStr">
        <is>
          <t>Albert Heijn 1155</t>
        </is>
      </c>
      <c r="G40" s="11" t="inlineStr">
        <is>
          <t>Albert Heijn</t>
        </is>
      </c>
      <c r="H40" s="11" t="inlineStr">
        <is>
          <t>Boodschappen</t>
        </is>
      </c>
      <c r="I40" s="11" t="inlineStr">
        <is>
          <t>Prive</t>
        </is>
      </c>
      <c r="J40" s="11" t="inlineStr">
        <is>
          <t>Ja</t>
        </is>
      </c>
      <c r="K40" s="12" t="n">
        <v>12.4</v>
      </c>
      <c r="L40" s="11" t="n"/>
      <c r="M40" s="11" t="inlineStr"/>
      <c r="N40" s="11" t="inlineStr"/>
    </row>
    <row r="41">
      <c r="A41" s="17" t="n">
        <v>46190</v>
      </c>
      <c r="B41" s="15">
        <f>ISOWEEKNUM(A41)</f>
        <v/>
      </c>
      <c r="C41" s="17">
        <f>A41-WEEKDAY(A41,2)+1</f>
        <v/>
      </c>
      <c r="D41" s="15">
        <f>TEXT(A41,"mmm yyyy")</f>
        <v/>
      </c>
      <c r="E41" s="15" t="inlineStr">
        <is>
          <t>Uit</t>
        </is>
      </c>
      <c r="F41" s="15" t="inlineStr">
        <is>
          <t>Checkify.pro Subs Fees</t>
        </is>
      </c>
      <c r="G41" s="15" t="inlineStr">
        <is>
          <t>Checkify.pro</t>
        </is>
      </c>
      <c r="H41" s="15" t="inlineStr">
        <is>
          <t>Software &amp; Tools</t>
        </is>
      </c>
      <c r="I41" s="15" t="inlineStr">
        <is>
          <t>Zakelijk</t>
        </is>
      </c>
      <c r="J41" s="15" t="inlineStr">
        <is>
          <t>Nee</t>
        </is>
      </c>
      <c r="K41" s="18" t="n">
        <v>25.19</v>
      </c>
      <c r="L41" s="15" t="n"/>
      <c r="M41" s="15" t="inlineStr"/>
      <c r="N41" s="15" t="inlineStr"/>
    </row>
    <row r="42">
      <c r="A42" s="10" t="n">
        <v>46190</v>
      </c>
      <c r="B42" s="11">
        <f>ISOWEEKNUM(A42)</f>
        <v/>
      </c>
      <c r="C42" s="10">
        <f>A42-WEEKDAY(A42,2)+1</f>
        <v/>
      </c>
      <c r="D42" s="11">
        <f>TEXT(A42,"mmm yyyy")</f>
        <v/>
      </c>
      <c r="E42" s="11" t="inlineStr">
        <is>
          <t>Uit</t>
        </is>
      </c>
      <c r="F42" s="11" t="inlineStr">
        <is>
          <t>Kindle Svcs</t>
        </is>
      </c>
      <c r="G42" s="11" t="inlineStr">
        <is>
          <t>Amazon Kindle</t>
        </is>
      </c>
      <c r="H42" s="11" t="inlineStr">
        <is>
          <t>Persoonlijk</t>
        </is>
      </c>
      <c r="I42" s="11" t="inlineStr">
        <is>
          <t>Prive</t>
        </is>
      </c>
      <c r="J42" s="11" t="inlineStr">
        <is>
          <t>Ja</t>
        </is>
      </c>
      <c r="K42" s="12" t="n">
        <v>0.99</v>
      </c>
      <c r="L42" s="11" t="n"/>
      <c r="M42" s="11" t="inlineStr"/>
      <c r="N42" s="11" t="inlineStr"/>
    </row>
    <row r="43">
      <c r="A43" s="13" t="n">
        <v>46190</v>
      </c>
      <c r="B43" s="14">
        <f>ISOWEEKNUM(A43)</f>
        <v/>
      </c>
      <c r="C43" s="13">
        <f>A43-WEEKDAY(A43,2)+1</f>
        <v/>
      </c>
      <c r="D43" s="14">
        <f>TEXT(A43,"mmm yyyy")</f>
        <v/>
      </c>
      <c r="E43" s="14" t="inlineStr">
        <is>
          <t>In</t>
        </is>
      </c>
      <c r="F43" s="14" t="inlineStr">
        <is>
          <t>Money added Stripe R6O9G3</t>
        </is>
      </c>
      <c r="G43" s="14" t="inlineStr">
        <is>
          <t>Stripe</t>
        </is>
      </c>
      <c r="H43" s="14" t="inlineStr">
        <is>
          <t>Omzet</t>
        </is>
      </c>
      <c r="I43" s="14" t="inlineStr">
        <is>
          <t>Zakelijk</t>
        </is>
      </c>
      <c r="J43" s="14" t="inlineStr">
        <is>
          <t>Nee</t>
        </is>
      </c>
      <c r="K43" s="15" t="n"/>
      <c r="L43" s="16" t="n">
        <v>2579.12</v>
      </c>
      <c r="M43" s="15" t="inlineStr"/>
      <c r="N43" s="14" t="inlineStr"/>
    </row>
    <row r="44">
      <c r="A44" s="17" t="n">
        <v>46190</v>
      </c>
      <c r="B44" s="15">
        <f>ISOWEEKNUM(A44)</f>
        <v/>
      </c>
      <c r="C44" s="17">
        <f>A44-WEEKDAY(A44,2)+1</f>
        <v/>
      </c>
      <c r="D44" s="15">
        <f>TEXT(A44,"mmm yyyy")</f>
        <v/>
      </c>
      <c r="E44" s="15" t="inlineStr">
        <is>
          <t>Uit</t>
        </is>
      </c>
      <c r="F44" s="15" t="inlineStr">
        <is>
          <t>To CC Ecommerce 0722</t>
        </is>
      </c>
      <c r="G44" s="15" t="inlineStr">
        <is>
          <t>CC Ecommerce Solutions</t>
        </is>
      </c>
      <c r="H44" s="15" t="inlineStr">
        <is>
          <t>Voorraad/Leverancier</t>
        </is>
      </c>
      <c r="I44" s="15" t="inlineStr">
        <is>
          <t>Zakelijk</t>
        </is>
      </c>
      <c r="J44" s="15" t="inlineStr">
        <is>
          <t>Nee</t>
        </is>
      </c>
      <c r="K44" s="18" t="n">
        <v>2000</v>
      </c>
      <c r="L44" s="15" t="n"/>
      <c r="M44" s="15" t="inlineStr"/>
      <c r="N44" s="15" t="inlineStr"/>
    </row>
    <row r="45">
      <c r="A45" s="17" t="n">
        <v>46190</v>
      </c>
      <c r="B45" s="15">
        <f>ISOWEEKNUM(A45)</f>
        <v/>
      </c>
      <c r="C45" s="17">
        <f>A45-WEEKDAY(A45,2)+1</f>
        <v/>
      </c>
      <c r="D45" s="15">
        <f>TEXT(A45,"mmm yyyy")</f>
        <v/>
      </c>
      <c r="E45" s="15" t="inlineStr">
        <is>
          <t>Uit</t>
        </is>
      </c>
      <c r="F45" s="15" t="inlineStr">
        <is>
          <t>To Uyar Web &amp; Trade Test</t>
        </is>
      </c>
      <c r="G45" s="15" t="inlineStr">
        <is>
          <t>eigen rekening</t>
        </is>
      </c>
      <c r="H45" s="15" t="inlineStr">
        <is>
          <t>Overig</t>
        </is>
      </c>
      <c r="I45" s="15" t="inlineStr">
        <is>
          <t>Zakelijk</t>
        </is>
      </c>
      <c r="J45" s="15" t="inlineStr">
        <is>
          <t>Nee</t>
        </is>
      </c>
      <c r="K45" s="18" t="n">
        <v>10</v>
      </c>
      <c r="L45" s="15" t="n"/>
      <c r="M45" s="15" t="inlineStr"/>
      <c r="N45" s="15" t="inlineStr">
        <is>
          <t>Interne overboeking / test</t>
        </is>
      </c>
    </row>
    <row r="46">
      <c r="A46" s="10" t="n">
        <v>46189</v>
      </c>
      <c r="B46" s="11">
        <f>ISOWEEKNUM(A46)</f>
        <v/>
      </c>
      <c r="C46" s="10">
        <f>A46-WEEKDAY(A46,2)+1</f>
        <v/>
      </c>
      <c r="D46" s="11">
        <f>TEXT(A46,"mmm yyyy")</f>
        <v/>
      </c>
      <c r="E46" s="11" t="inlineStr">
        <is>
          <t>Uit</t>
        </is>
      </c>
      <c r="F46" s="11" t="inlineStr">
        <is>
          <t>Albert Heijn 1155</t>
        </is>
      </c>
      <c r="G46" s="11" t="inlineStr">
        <is>
          <t>Albert Heijn</t>
        </is>
      </c>
      <c r="H46" s="11" t="inlineStr">
        <is>
          <t>Boodschappen</t>
        </is>
      </c>
      <c r="I46" s="11" t="inlineStr">
        <is>
          <t>Prive</t>
        </is>
      </c>
      <c r="J46" s="11" t="inlineStr">
        <is>
          <t>Ja</t>
        </is>
      </c>
      <c r="K46" s="12" t="n">
        <v>3.28</v>
      </c>
      <c r="L46" s="11" t="n"/>
      <c r="M46" s="11" t="inlineStr"/>
      <c r="N46" s="11" t="inlineStr"/>
    </row>
    <row r="47">
      <c r="A47" s="10" t="n">
        <v>46189</v>
      </c>
      <c r="B47" s="11">
        <f>ISOWEEKNUM(A47)</f>
        <v/>
      </c>
      <c r="C47" s="10">
        <f>A47-WEEKDAY(A47,2)+1</f>
        <v/>
      </c>
      <c r="D47" s="11">
        <f>TEXT(A47,"mmm yyyy")</f>
        <v/>
      </c>
      <c r="E47" s="11" t="inlineStr">
        <is>
          <t>Uit</t>
        </is>
      </c>
      <c r="F47" s="11" t="inlineStr">
        <is>
          <t>Nyx vendingland</t>
        </is>
      </c>
      <c r="G47" s="11" t="inlineStr">
        <is>
          <t>Vendingland</t>
        </is>
      </c>
      <c r="H47" s="11" t="inlineStr">
        <is>
          <t>Eten &amp; Restaurant</t>
        </is>
      </c>
      <c r="I47" s="11" t="inlineStr">
        <is>
          <t>Prive</t>
        </is>
      </c>
      <c r="J47" s="11" t="inlineStr">
        <is>
          <t>Ja</t>
        </is>
      </c>
      <c r="K47" s="12" t="n">
        <v>2.8</v>
      </c>
      <c r="L47" s="11" t="n"/>
      <c r="M47" s="11" t="inlineStr"/>
      <c r="N47" s="11" t="inlineStr">
        <is>
          <t>Automaat</t>
        </is>
      </c>
    </row>
    <row r="48">
      <c r="A48" s="13" t="n">
        <v>46189</v>
      </c>
      <c r="B48" s="14">
        <f>ISOWEEKNUM(A48)</f>
        <v/>
      </c>
      <c r="C48" s="13">
        <f>A48-WEEKDAY(A48,2)+1</f>
        <v/>
      </c>
      <c r="D48" s="14">
        <f>TEXT(A48,"mmm yyyy")</f>
        <v/>
      </c>
      <c r="E48" s="14" t="inlineStr">
        <is>
          <t>In</t>
        </is>
      </c>
      <c r="F48" s="14" t="inlineStr">
        <is>
          <t>Money added Stripe B6L0P2</t>
        </is>
      </c>
      <c r="G48" s="14" t="inlineStr">
        <is>
          <t>Stripe</t>
        </is>
      </c>
      <c r="H48" s="14" t="inlineStr">
        <is>
          <t>Omzet</t>
        </is>
      </c>
      <c r="I48" s="14" t="inlineStr">
        <is>
          <t>Zakelijk</t>
        </is>
      </c>
      <c r="J48" s="14" t="inlineStr">
        <is>
          <t>Nee</t>
        </is>
      </c>
      <c r="K48" s="15" t="n"/>
      <c r="L48" s="16" t="n">
        <v>3622.3</v>
      </c>
      <c r="M48" s="15" t="inlineStr"/>
      <c r="N48" s="14" t="inlineStr"/>
    </row>
    <row r="49">
      <c r="A49" s="17" t="n">
        <v>46188</v>
      </c>
      <c r="B49" s="15">
        <f>ISOWEEKNUM(A49)</f>
        <v/>
      </c>
      <c r="C49" s="17">
        <f>A49-WEEKDAY(A49,2)+1</f>
        <v/>
      </c>
      <c r="D49" s="15">
        <f>TEXT(A49,"mmm yyyy")</f>
        <v/>
      </c>
      <c r="E49" s="15" t="inlineStr">
        <is>
          <t>Uit</t>
        </is>
      </c>
      <c r="F49" s="15" t="inlineStr">
        <is>
          <t>To CC Ecommerce 0722</t>
        </is>
      </c>
      <c r="G49" s="15" t="inlineStr">
        <is>
          <t>CC Ecommerce Solutions</t>
        </is>
      </c>
      <c r="H49" s="15" t="inlineStr">
        <is>
          <t>Voorraad/Leverancier</t>
        </is>
      </c>
      <c r="I49" s="15" t="inlineStr">
        <is>
          <t>Zakelijk</t>
        </is>
      </c>
      <c r="J49" s="15" t="inlineStr">
        <is>
          <t>Nee</t>
        </is>
      </c>
      <c r="K49" s="18" t="n">
        <v>3000</v>
      </c>
      <c r="L49" s="15" t="n"/>
      <c r="M49" s="15" t="inlineStr"/>
      <c r="N49" s="15" t="inlineStr"/>
    </row>
    <row r="50">
      <c r="A50" s="17" t="n">
        <v>46188</v>
      </c>
      <c r="B50" s="15">
        <f>ISOWEEKNUM(A50)</f>
        <v/>
      </c>
      <c r="C50" s="17">
        <f>A50-WEEKDAY(A50,2)+1</f>
        <v/>
      </c>
      <c r="D50" s="15">
        <f>TEXT(A50,"mmm yyyy")</f>
        <v/>
      </c>
      <c r="E50" s="15" t="inlineStr">
        <is>
          <t>Uit</t>
        </is>
      </c>
      <c r="F50" s="15" t="inlineStr">
        <is>
          <t>Checkify.pro</t>
        </is>
      </c>
      <c r="G50" s="15" t="inlineStr">
        <is>
          <t>Checkify.pro</t>
        </is>
      </c>
      <c r="H50" s="15" t="inlineStr">
        <is>
          <t>Software &amp; Tools</t>
        </is>
      </c>
      <c r="I50" s="15" t="inlineStr">
        <is>
          <t>Zakelijk</t>
        </is>
      </c>
      <c r="J50" s="15" t="inlineStr">
        <is>
          <t>Nee</t>
        </is>
      </c>
      <c r="K50" s="18" t="n">
        <v>43.37</v>
      </c>
      <c r="L50" s="15" t="n"/>
      <c r="M50" s="15" t="inlineStr"/>
      <c r="N50" s="15" t="inlineStr"/>
    </row>
    <row r="51">
      <c r="A51" s="10" t="n">
        <v>46188</v>
      </c>
      <c r="B51" s="11">
        <f>ISOWEEKNUM(A51)</f>
        <v/>
      </c>
      <c r="C51" s="10">
        <f>A51-WEEKDAY(A51,2)+1</f>
        <v/>
      </c>
      <c r="D51" s="11">
        <f>TEXT(A51,"mmm yyyy")</f>
        <v/>
      </c>
      <c r="E51" s="11" t="inlineStr">
        <is>
          <t>Uit</t>
        </is>
      </c>
      <c r="F51" s="11" t="inlineStr">
        <is>
          <t>Bck cigkoftem 053</t>
        </is>
      </c>
      <c r="G51" s="11" t="inlineStr">
        <is>
          <t>Cigkoftem</t>
        </is>
      </c>
      <c r="H51" s="11" t="inlineStr">
        <is>
          <t>Eten &amp; Restaurant</t>
        </is>
      </c>
      <c r="I51" s="11" t="inlineStr">
        <is>
          <t>Prive</t>
        </is>
      </c>
      <c r="J51" s="11" t="inlineStr">
        <is>
          <t>Ja</t>
        </is>
      </c>
      <c r="K51" s="12" t="n">
        <v>5.95</v>
      </c>
      <c r="L51" s="11" t="n"/>
      <c r="M51" s="11" t="inlineStr"/>
      <c r="N51" s="11" t="inlineStr"/>
    </row>
    <row r="52">
      <c r="A52" s="10" t="n">
        <v>46188</v>
      </c>
      <c r="B52" s="11">
        <f>ISOWEEKNUM(A52)</f>
        <v/>
      </c>
      <c r="C52" s="10">
        <f>A52-WEEKDAY(A52,2)+1</f>
        <v/>
      </c>
      <c r="D52" s="11">
        <f>TEXT(A52,"mmm yyyy")</f>
        <v/>
      </c>
      <c r="E52" s="11" t="inlineStr">
        <is>
          <t>Uit</t>
        </is>
      </c>
      <c r="F52" s="11" t="inlineStr">
        <is>
          <t>Albert Heijn 2325</t>
        </is>
      </c>
      <c r="G52" s="11" t="inlineStr">
        <is>
          <t>Albert Heijn</t>
        </is>
      </c>
      <c r="H52" s="11" t="inlineStr">
        <is>
          <t>Boodschappen</t>
        </is>
      </c>
      <c r="I52" s="11" t="inlineStr">
        <is>
          <t>Prive</t>
        </is>
      </c>
      <c r="J52" s="11" t="inlineStr">
        <is>
          <t>Ja</t>
        </is>
      </c>
      <c r="K52" s="12" t="n">
        <v>1.98</v>
      </c>
      <c r="L52" s="11" t="n"/>
      <c r="M52" s="11" t="inlineStr"/>
      <c r="N52" s="11" t="inlineStr"/>
    </row>
    <row r="53">
      <c r="A53" s="10" t="n">
        <v>46188</v>
      </c>
      <c r="B53" s="11">
        <f>ISOWEEKNUM(A53)</f>
        <v/>
      </c>
      <c r="C53" s="10">
        <f>A53-WEEKDAY(A53,2)+1</f>
        <v/>
      </c>
      <c r="D53" s="11">
        <f>TEXT(A53,"mmm yyyy")</f>
        <v/>
      </c>
      <c r="E53" s="11" t="inlineStr">
        <is>
          <t>Uit</t>
        </is>
      </c>
      <c r="F53" s="11" t="inlineStr">
        <is>
          <t>Bp De Bolder</t>
        </is>
      </c>
      <c r="G53" s="11" t="inlineStr">
        <is>
          <t>Bp De Bolder</t>
        </is>
      </c>
      <c r="H53" s="11" t="inlineStr">
        <is>
          <t>Eten &amp; Restaurant</t>
        </is>
      </c>
      <c r="I53" s="11" t="inlineStr">
        <is>
          <t>Prive</t>
        </is>
      </c>
      <c r="J53" s="11" t="inlineStr">
        <is>
          <t>Ja</t>
        </is>
      </c>
      <c r="K53" s="12" t="n">
        <v>4.95</v>
      </c>
      <c r="L53" s="11" t="n"/>
      <c r="M53" s="11" t="inlineStr"/>
      <c r="N53" s="11" t="inlineStr"/>
    </row>
    <row r="54">
      <c r="A54" s="10" t="n">
        <v>46188</v>
      </c>
      <c r="B54" s="11">
        <f>ISOWEEKNUM(A54)</f>
        <v/>
      </c>
      <c r="C54" s="10">
        <f>A54-WEEKDAY(A54,2)+1</f>
        <v/>
      </c>
      <c r="D54" s="11">
        <f>TEXT(A54,"mmm yyyy")</f>
        <v/>
      </c>
      <c r="E54" s="11" t="inlineStr">
        <is>
          <t>Uit</t>
        </is>
      </c>
      <c r="F54" s="11" t="inlineStr">
        <is>
          <t>Ok Enschede Bl</t>
        </is>
      </c>
      <c r="G54" s="11" t="inlineStr">
        <is>
          <t>OK Tankstation</t>
        </is>
      </c>
      <c r="H54" s="11" t="inlineStr">
        <is>
          <t>Brandstof</t>
        </is>
      </c>
      <c r="I54" s="11" t="inlineStr">
        <is>
          <t>Prive</t>
        </is>
      </c>
      <c r="J54" s="11" t="inlineStr">
        <is>
          <t>Ja</t>
        </is>
      </c>
      <c r="K54" s="12" t="n">
        <v>3.1</v>
      </c>
      <c r="L54" s="11" t="n"/>
      <c r="M54" s="11" t="inlineStr"/>
      <c r="N54" s="11" t="inlineStr"/>
    </row>
    <row r="55">
      <c r="A55" s="10" t="n">
        <v>46188</v>
      </c>
      <c r="B55" s="11">
        <f>ISOWEEKNUM(A55)</f>
        <v/>
      </c>
      <c r="C55" s="10">
        <f>A55-WEEKDAY(A55,2)+1</f>
        <v/>
      </c>
      <c r="D55" s="11">
        <f>TEXT(A55,"mmm yyyy")</f>
        <v/>
      </c>
      <c r="E55" s="11" t="inlineStr">
        <is>
          <t>Uit</t>
        </is>
      </c>
      <c r="F55" s="11" t="inlineStr">
        <is>
          <t>Easyparknlcom</t>
        </is>
      </c>
      <c r="G55" s="11" t="inlineStr">
        <is>
          <t>Easypark</t>
        </is>
      </c>
      <c r="H55" s="11" t="inlineStr">
        <is>
          <t>Parkeren</t>
        </is>
      </c>
      <c r="I55" s="11" t="inlineStr">
        <is>
          <t>Prive</t>
        </is>
      </c>
      <c r="J55" s="11" t="inlineStr">
        <is>
          <t>Ja</t>
        </is>
      </c>
      <c r="K55" s="12" t="n">
        <v>1.86</v>
      </c>
      <c r="L55" s="11" t="n"/>
      <c r="M55" s="11" t="inlineStr"/>
      <c r="N55" s="11" t="inlineStr"/>
    </row>
    <row r="56">
      <c r="A56" s="17" t="n">
        <v>46188</v>
      </c>
      <c r="B56" s="15">
        <f>ISOWEEKNUM(A56)</f>
        <v/>
      </c>
      <c r="C56" s="17">
        <f>A56-WEEKDAY(A56,2)+1</f>
        <v/>
      </c>
      <c r="D56" s="15">
        <f>TEXT(A56,"mmm yyyy")</f>
        <v/>
      </c>
      <c r="E56" s="15" t="inlineStr">
        <is>
          <t>Uit</t>
        </is>
      </c>
      <c r="F56" s="15" t="inlineStr">
        <is>
          <t>Checkify.pro Subs Fees</t>
        </is>
      </c>
      <c r="G56" s="15" t="inlineStr">
        <is>
          <t>Checkify.pro</t>
        </is>
      </c>
      <c r="H56" s="15" t="inlineStr">
        <is>
          <t>Software &amp; Tools</t>
        </is>
      </c>
      <c r="I56" s="15" t="inlineStr">
        <is>
          <t>Zakelijk</t>
        </is>
      </c>
      <c r="J56" s="15" t="inlineStr">
        <is>
          <t>Nee</t>
        </is>
      </c>
      <c r="K56" s="18" t="n">
        <v>25.2</v>
      </c>
      <c r="L56" s="15" t="n"/>
      <c r="M56" s="15" t="inlineStr"/>
      <c r="N56" s="15" t="inlineStr"/>
    </row>
    <row r="57">
      <c r="A57" s="13" t="n">
        <v>46188</v>
      </c>
      <c r="B57" s="14">
        <f>ISOWEEKNUM(A57)</f>
        <v/>
      </c>
      <c r="C57" s="13">
        <f>A57-WEEKDAY(A57,2)+1</f>
        <v/>
      </c>
      <c r="D57" s="14">
        <f>TEXT(A57,"mmm yyyy")</f>
        <v/>
      </c>
      <c r="E57" s="14" t="inlineStr">
        <is>
          <t>In</t>
        </is>
      </c>
      <c r="F57" s="14" t="inlineStr">
        <is>
          <t>Money added Stripe R2F5Z7</t>
        </is>
      </c>
      <c r="G57" s="14" t="inlineStr">
        <is>
          <t>Stripe</t>
        </is>
      </c>
      <c r="H57" s="14" t="inlineStr">
        <is>
          <t>Omzet</t>
        </is>
      </c>
      <c r="I57" s="14" t="inlineStr">
        <is>
          <t>Zakelijk</t>
        </is>
      </c>
      <c r="J57" s="14" t="inlineStr">
        <is>
          <t>Nee</t>
        </is>
      </c>
      <c r="K57" s="15" t="n"/>
      <c r="L57" s="16" t="n">
        <v>3049.48</v>
      </c>
      <c r="M57" s="15" t="inlineStr"/>
      <c r="N57" s="14" t="inlineStr"/>
    </row>
    <row r="58">
      <c r="A58" s="10" t="n">
        <v>46187</v>
      </c>
      <c r="B58" s="11">
        <f>ISOWEEKNUM(A58)</f>
        <v/>
      </c>
      <c r="C58" s="10">
        <f>A58-WEEKDAY(A58,2)+1</f>
        <v/>
      </c>
      <c r="D58" s="11">
        <f>TEXT(A58,"mmm yyyy")</f>
        <v/>
      </c>
      <c r="E58" s="11" t="inlineStr">
        <is>
          <t>Uit</t>
        </is>
      </c>
      <c r="F58" s="11" t="inlineStr">
        <is>
          <t>Shell Hilversum Nz Nl0720</t>
        </is>
      </c>
      <c r="G58" s="11" t="inlineStr">
        <is>
          <t>Shell</t>
        </is>
      </c>
      <c r="H58" s="11" t="inlineStr">
        <is>
          <t>Brandstof</t>
        </is>
      </c>
      <c r="I58" s="11" t="inlineStr">
        <is>
          <t>Prive</t>
        </is>
      </c>
      <c r="J58" s="11" t="inlineStr">
        <is>
          <t>Ja</t>
        </is>
      </c>
      <c r="K58" s="12" t="n">
        <v>50</v>
      </c>
      <c r="L58" s="11" t="n"/>
      <c r="M58" s="11" t="inlineStr"/>
      <c r="N58" s="11" t="inlineStr"/>
    </row>
    <row r="59">
      <c r="A59" s="10" t="n">
        <v>46187</v>
      </c>
      <c r="B59" s="11">
        <f>ISOWEEKNUM(A59)</f>
        <v/>
      </c>
      <c r="C59" s="10">
        <f>A59-WEEKDAY(A59,2)+1</f>
        <v/>
      </c>
      <c r="D59" s="11">
        <f>TEXT(A59,"mmm yyyy")</f>
        <v/>
      </c>
      <c r="E59" s="11" t="inlineStr">
        <is>
          <t>Uit</t>
        </is>
      </c>
      <c r="F59" s="11" t="inlineStr">
        <is>
          <t>Shell Haarrijn Nl 1390</t>
        </is>
      </c>
      <c r="G59" s="11" t="inlineStr">
        <is>
          <t>Shell</t>
        </is>
      </c>
      <c r="H59" s="11" t="inlineStr">
        <is>
          <t>Brandstof</t>
        </is>
      </c>
      <c r="I59" s="11" t="inlineStr">
        <is>
          <t>Prive</t>
        </is>
      </c>
      <c r="J59" s="11" t="inlineStr">
        <is>
          <t>Ja</t>
        </is>
      </c>
      <c r="K59" s="12" t="n">
        <v>4.99</v>
      </c>
      <c r="L59" s="11" t="n"/>
      <c r="M59" s="11" t="inlineStr"/>
      <c r="N59" s="11" t="inlineStr"/>
    </row>
    <row r="60">
      <c r="A60" s="10" t="n">
        <v>46187</v>
      </c>
      <c r="B60" s="11">
        <f>ISOWEEKNUM(A60)</f>
        <v/>
      </c>
      <c r="C60" s="10">
        <f>A60-WEEKDAY(A60,2)+1</f>
        <v/>
      </c>
      <c r="D60" s="11">
        <f>TEXT(A60,"mmm yyyy")</f>
        <v/>
      </c>
      <c r="E60" s="11" t="inlineStr">
        <is>
          <t>Uit</t>
        </is>
      </c>
      <c r="F60" s="11" t="inlineStr">
        <is>
          <t>Shell Station Ruwiel 0242</t>
        </is>
      </c>
      <c r="G60" s="11" t="inlineStr">
        <is>
          <t>Shell</t>
        </is>
      </c>
      <c r="H60" s="11" t="inlineStr">
        <is>
          <t>Brandstof</t>
        </is>
      </c>
      <c r="I60" s="11" t="inlineStr">
        <is>
          <t>Prive</t>
        </is>
      </c>
      <c r="J60" s="11" t="inlineStr">
        <is>
          <t>Ja</t>
        </is>
      </c>
      <c r="K60" s="12" t="n">
        <v>6.73</v>
      </c>
      <c r="L60" s="11" t="n"/>
      <c r="M60" s="11" t="inlineStr"/>
      <c r="N60" s="11" t="inlineStr"/>
    </row>
    <row r="61">
      <c r="A61" s="10" t="n">
        <v>46187</v>
      </c>
      <c r="B61" s="11">
        <f>ISOWEEKNUM(A61)</f>
        <v/>
      </c>
      <c r="C61" s="10">
        <f>A61-WEEKDAY(A61,2)+1</f>
        <v/>
      </c>
      <c r="D61" s="11">
        <f>TEXT(A61,"mmm yyyy")</f>
        <v/>
      </c>
      <c r="E61" s="11" t="inlineStr">
        <is>
          <t>Uit</t>
        </is>
      </c>
      <c r="F61" s="11" t="inlineStr">
        <is>
          <t>Kruidvat 7444</t>
        </is>
      </c>
      <c r="G61" s="11" t="inlineStr">
        <is>
          <t>Kruidvat</t>
        </is>
      </c>
      <c r="H61" s="11" t="inlineStr">
        <is>
          <t>Persoonlijk</t>
        </is>
      </c>
      <c r="I61" s="11" t="inlineStr">
        <is>
          <t>Prive</t>
        </is>
      </c>
      <c r="J61" s="11" t="inlineStr">
        <is>
          <t>Ja</t>
        </is>
      </c>
      <c r="K61" s="12" t="n">
        <v>26.12</v>
      </c>
      <c r="L61" s="11" t="n"/>
      <c r="M61" s="11" t="inlineStr"/>
      <c r="N61" s="11" t="inlineStr">
        <is>
          <t>Drogist</t>
        </is>
      </c>
    </row>
    <row r="62">
      <c r="A62" s="10" t="n">
        <v>46187</v>
      </c>
      <c r="B62" s="11">
        <f>ISOWEEKNUM(A62)</f>
        <v/>
      </c>
      <c r="C62" s="10">
        <f>A62-WEEKDAY(A62,2)+1</f>
        <v/>
      </c>
      <c r="D62" s="11">
        <f>TEXT(A62,"mmm yyyy")</f>
        <v/>
      </c>
      <c r="E62" s="11" t="inlineStr">
        <is>
          <t>Uit</t>
        </is>
      </c>
      <c r="F62" s="11" t="inlineStr">
        <is>
          <t>Easyparknlcom</t>
        </is>
      </c>
      <c r="G62" s="11" t="inlineStr">
        <is>
          <t>Easypark</t>
        </is>
      </c>
      <c r="H62" s="11" t="inlineStr">
        <is>
          <t>Parkeren</t>
        </is>
      </c>
      <c r="I62" s="11" t="inlineStr">
        <is>
          <t>Prive</t>
        </is>
      </c>
      <c r="J62" s="11" t="inlineStr">
        <is>
          <t>Ja</t>
        </is>
      </c>
      <c r="K62" s="12" t="n">
        <v>2.9</v>
      </c>
      <c r="L62" s="11" t="n"/>
      <c r="M62" s="11" t="inlineStr"/>
      <c r="N62" s="11" t="inlineStr"/>
    </row>
    <row r="63">
      <c r="A63" s="17" t="n">
        <v>46187</v>
      </c>
      <c r="B63" s="15">
        <f>ISOWEEKNUM(A63)</f>
        <v/>
      </c>
      <c r="C63" s="17">
        <f>A63-WEEKDAY(A63,2)+1</f>
        <v/>
      </c>
      <c r="D63" s="15">
        <f>TEXT(A63,"mmm yyyy")</f>
        <v/>
      </c>
      <c r="E63" s="15" t="inlineStr">
        <is>
          <t>Uit</t>
        </is>
      </c>
      <c r="F63" s="15" t="inlineStr">
        <is>
          <t>Checkify.pro Subs Fees</t>
        </is>
      </c>
      <c r="G63" s="15" t="inlineStr">
        <is>
          <t>Checkify.pro</t>
        </is>
      </c>
      <c r="H63" s="15" t="inlineStr">
        <is>
          <t>Software &amp; Tools</t>
        </is>
      </c>
      <c r="I63" s="15" t="inlineStr">
        <is>
          <t>Zakelijk</t>
        </is>
      </c>
      <c r="J63" s="15" t="inlineStr">
        <is>
          <t>Nee</t>
        </is>
      </c>
      <c r="K63" s="18" t="n">
        <v>25.25</v>
      </c>
      <c r="L63" s="15" t="n"/>
      <c r="M63" s="15" t="inlineStr"/>
      <c r="N63" s="15" t="inlineStr"/>
    </row>
    <row r="64">
      <c r="A64" s="10" t="n">
        <v>46186</v>
      </c>
      <c r="B64" s="11">
        <f>ISOWEEKNUM(A64)</f>
        <v/>
      </c>
      <c r="C64" s="10">
        <f>A64-WEEKDAY(A64,2)+1</f>
        <v/>
      </c>
      <c r="D64" s="11">
        <f>TEXT(A64,"mmm yyyy")</f>
        <v/>
      </c>
      <c r="E64" s="11" t="inlineStr">
        <is>
          <t>Uit</t>
        </is>
      </c>
      <c r="F64" s="11" t="inlineStr">
        <is>
          <t>Shell Ruimteweg Nl 0601</t>
        </is>
      </c>
      <c r="G64" s="11" t="inlineStr">
        <is>
          <t>Shell</t>
        </is>
      </c>
      <c r="H64" s="11" t="inlineStr">
        <is>
          <t>Brandstof</t>
        </is>
      </c>
      <c r="I64" s="11" t="inlineStr">
        <is>
          <t>Prive</t>
        </is>
      </c>
      <c r="J64" s="11" t="inlineStr">
        <is>
          <t>Ja</t>
        </is>
      </c>
      <c r="K64" s="12" t="n">
        <v>19.99</v>
      </c>
      <c r="L64" s="11" t="n"/>
      <c r="M64" s="11" t="inlineStr"/>
      <c r="N64" s="11" t="inlineStr"/>
    </row>
    <row r="65">
      <c r="A65" s="10" t="n">
        <v>46186</v>
      </c>
      <c r="B65" s="11">
        <f>ISOWEEKNUM(A65)</f>
        <v/>
      </c>
      <c r="C65" s="10">
        <f>A65-WEEKDAY(A65,2)+1</f>
        <v/>
      </c>
      <c r="D65" s="11">
        <f>TEXT(A65,"mmm yyyy")</f>
        <v/>
      </c>
      <c r="E65" s="11" t="inlineStr">
        <is>
          <t>Uit</t>
        </is>
      </c>
      <c r="F65" s="11" t="inlineStr">
        <is>
          <t>Ccv snackline Gijsbrecht</t>
        </is>
      </c>
      <c r="G65" s="11" t="inlineStr">
        <is>
          <t>Snackline</t>
        </is>
      </c>
      <c r="H65" s="11" t="inlineStr">
        <is>
          <t>Eten &amp; Restaurant</t>
        </is>
      </c>
      <c r="I65" s="11" t="inlineStr">
        <is>
          <t>Prive</t>
        </is>
      </c>
      <c r="J65" s="11" t="inlineStr">
        <is>
          <t>Ja</t>
        </is>
      </c>
      <c r="K65" s="12" t="n">
        <v>15</v>
      </c>
      <c r="L65" s="11" t="n"/>
      <c r="M65" s="11" t="inlineStr"/>
      <c r="N65" s="11" t="inlineStr"/>
    </row>
    <row r="66">
      <c r="A66" s="10" t="n">
        <v>46186</v>
      </c>
      <c r="B66" s="11">
        <f>ISOWEEKNUM(A66)</f>
        <v/>
      </c>
      <c r="C66" s="10">
        <f>A66-WEEKDAY(A66,2)+1</f>
        <v/>
      </c>
      <c r="D66" s="11">
        <f>TEXT(A66,"mmm yyyy")</f>
        <v/>
      </c>
      <c r="E66" s="11" t="inlineStr">
        <is>
          <t>Uit</t>
        </is>
      </c>
      <c r="F66" s="11" t="inlineStr">
        <is>
          <t>Nimet Doner</t>
        </is>
      </c>
      <c r="G66" s="11" t="inlineStr">
        <is>
          <t>Nimet Doner</t>
        </is>
      </c>
      <c r="H66" s="11" t="inlineStr">
        <is>
          <t>Eten &amp; Restaurant</t>
        </is>
      </c>
      <c r="I66" s="11" t="inlineStr">
        <is>
          <t>Prive</t>
        </is>
      </c>
      <c r="J66" s="11" t="inlineStr">
        <is>
          <t>Ja</t>
        </is>
      </c>
      <c r="K66" s="12" t="n">
        <v>15</v>
      </c>
      <c r="L66" s="11" t="n"/>
      <c r="M66" s="11" t="inlineStr"/>
      <c r="N66" s="11" t="inlineStr"/>
    </row>
    <row r="67">
      <c r="A67" s="10" t="n">
        <v>46186</v>
      </c>
      <c r="B67" s="11">
        <f>ISOWEEKNUM(A67)</f>
        <v/>
      </c>
      <c r="C67" s="10">
        <f>A67-WEEKDAY(A67,2)+1</f>
        <v/>
      </c>
      <c r="D67" s="11">
        <f>TEXT(A67,"mmm yyyy")</f>
        <v/>
      </c>
      <c r="E67" s="11" t="inlineStr">
        <is>
          <t>Uit</t>
        </is>
      </c>
      <c r="F67" s="11" t="inlineStr">
        <is>
          <t>Easyparknlcom</t>
        </is>
      </c>
      <c r="G67" s="11" t="inlineStr">
        <is>
          <t>Easypark</t>
        </is>
      </c>
      <c r="H67" s="11" t="inlineStr">
        <is>
          <t>Parkeren</t>
        </is>
      </c>
      <c r="I67" s="11" t="inlineStr">
        <is>
          <t>Prive</t>
        </is>
      </c>
      <c r="J67" s="11" t="inlineStr">
        <is>
          <t>Ja</t>
        </is>
      </c>
      <c r="K67" s="12" t="n">
        <v>1.66</v>
      </c>
      <c r="L67" s="11" t="n"/>
      <c r="M67" s="11" t="inlineStr"/>
      <c r="N67" s="11" t="inlineStr"/>
    </row>
    <row r="68">
      <c r="A68" s="10" t="n">
        <v>46185</v>
      </c>
      <c r="B68" s="11">
        <f>ISOWEEKNUM(A68)</f>
        <v/>
      </c>
      <c r="C68" s="10">
        <f>A68-WEEKDAY(A68,2)+1</f>
        <v/>
      </c>
      <c r="D68" s="11">
        <f>TEXT(A68,"mmm yyyy")</f>
        <v/>
      </c>
      <c r="E68" s="11" t="inlineStr">
        <is>
          <t>Uit</t>
        </is>
      </c>
      <c r="F68" s="11" t="inlineStr">
        <is>
          <t>To Talat Uyar Prive</t>
        </is>
      </c>
      <c r="G68" s="11" t="inlineStr">
        <is>
          <t>Talat (prive)</t>
        </is>
      </c>
      <c r="H68" s="11" t="inlineStr">
        <is>
          <t>Prive-opname</t>
        </is>
      </c>
      <c r="I68" s="11" t="inlineStr">
        <is>
          <t>Prive</t>
        </is>
      </c>
      <c r="J68" s="11" t="inlineStr">
        <is>
          <t>Ja</t>
        </is>
      </c>
      <c r="K68" s="12" t="n">
        <v>300</v>
      </c>
      <c r="L68" s="11" t="n"/>
      <c r="M68" s="11" t="inlineStr"/>
      <c r="N68" s="11" t="inlineStr">
        <is>
          <t>Opname naar prive</t>
        </is>
      </c>
    </row>
    <row r="69">
      <c r="A69" s="10" t="n">
        <v>46185</v>
      </c>
      <c r="B69" s="11">
        <f>ISOWEEKNUM(A69)</f>
        <v/>
      </c>
      <c r="C69" s="10">
        <f>A69-WEEKDAY(A69,2)+1</f>
        <v/>
      </c>
      <c r="D69" s="11">
        <f>TEXT(A69,"mmm yyyy")</f>
        <v/>
      </c>
      <c r="E69" s="11" t="inlineStr">
        <is>
          <t>Uit</t>
        </is>
      </c>
      <c r="F69" s="11" t="inlineStr">
        <is>
          <t>Moonpay exodus 3882</t>
        </is>
      </c>
      <c r="G69" s="11" t="inlineStr">
        <is>
          <t>Moonpay</t>
        </is>
      </c>
      <c r="H69" s="11" t="inlineStr">
        <is>
          <t>Crypto</t>
        </is>
      </c>
      <c r="I69" s="11" t="inlineStr">
        <is>
          <t>Prive</t>
        </is>
      </c>
      <c r="J69" s="11" t="inlineStr">
        <is>
          <t>Ja</t>
        </is>
      </c>
      <c r="K69" s="12" t="n">
        <v>52.13</v>
      </c>
      <c r="L69" s="11" t="n"/>
      <c r="M69" s="11" t="inlineStr">
        <is>
          <t>$60.00</t>
        </is>
      </c>
      <c r="N69" s="11" t="inlineStr">
        <is>
          <t>Crypto - verifieer</t>
        </is>
      </c>
    </row>
    <row r="70">
      <c r="A70" s="10" t="n">
        <v>46185</v>
      </c>
      <c r="B70" s="11">
        <f>ISOWEEKNUM(A70)</f>
        <v/>
      </c>
      <c r="C70" s="10">
        <f>A70-WEEKDAY(A70,2)+1</f>
        <v/>
      </c>
      <c r="D70" s="11">
        <f>TEXT(A70,"mmm yyyy")</f>
        <v/>
      </c>
      <c r="E70" s="11" t="inlineStr">
        <is>
          <t>Uit</t>
        </is>
      </c>
      <c r="F70" s="11" t="inlineStr">
        <is>
          <t>Moonpay exodus 2327</t>
        </is>
      </c>
      <c r="G70" s="11" t="inlineStr">
        <is>
          <t>Moonpay</t>
        </is>
      </c>
      <c r="H70" s="11" t="inlineStr">
        <is>
          <t>Crypto</t>
        </is>
      </c>
      <c r="I70" s="11" t="inlineStr">
        <is>
          <t>Prive</t>
        </is>
      </c>
      <c r="J70" s="11" t="inlineStr">
        <is>
          <t>Ja</t>
        </is>
      </c>
      <c r="K70" s="12" t="n">
        <v>95.40000000000001</v>
      </c>
      <c r="L70" s="11" t="n"/>
      <c r="M70" s="11" t="inlineStr">
        <is>
          <t>$110.00</t>
        </is>
      </c>
      <c r="N70" s="11" t="inlineStr">
        <is>
          <t>Crypto - verifieer</t>
        </is>
      </c>
    </row>
    <row r="71">
      <c r="A71" s="10" t="n">
        <v>46185</v>
      </c>
      <c r="B71" s="11">
        <f>ISOWEEKNUM(A71)</f>
        <v/>
      </c>
      <c r="C71" s="10">
        <f>A71-WEEKDAY(A71,2)+1</f>
        <v/>
      </c>
      <c r="D71" s="11">
        <f>TEXT(A71,"mmm yyyy")</f>
        <v/>
      </c>
      <c r="E71" s="11" t="inlineStr">
        <is>
          <t>Uit</t>
        </is>
      </c>
      <c r="F71" s="11" t="inlineStr">
        <is>
          <t>Patreon Membership</t>
        </is>
      </c>
      <c r="G71" s="11" t="inlineStr">
        <is>
          <t>Patreon</t>
        </is>
      </c>
      <c r="H71" s="11" t="inlineStr">
        <is>
          <t>Persoonlijk</t>
        </is>
      </c>
      <c r="I71" s="11" t="inlineStr">
        <is>
          <t>Prive</t>
        </is>
      </c>
      <c r="J71" s="11" t="inlineStr">
        <is>
          <t>Ja</t>
        </is>
      </c>
      <c r="K71" s="12" t="n">
        <v>7.82</v>
      </c>
      <c r="L71" s="11" t="n"/>
      <c r="M71" s="11" t="inlineStr">
        <is>
          <t>33.28 PLN</t>
        </is>
      </c>
      <c r="N71" s="11" t="inlineStr"/>
    </row>
    <row r="72">
      <c r="A72" s="10" t="n">
        <v>46185</v>
      </c>
      <c r="B72" s="11">
        <f>ISOWEEKNUM(A72)</f>
        <v/>
      </c>
      <c r="C72" s="10">
        <f>A72-WEEKDAY(A72,2)+1</f>
        <v/>
      </c>
      <c r="D72" s="11">
        <f>TEXT(A72,"mmm yyyy")</f>
        <v/>
      </c>
      <c r="E72" s="11" t="inlineStr">
        <is>
          <t>Uit</t>
        </is>
      </c>
      <c r="F72" s="11" t="inlineStr">
        <is>
          <t>Esso Maartensdijk Ni</t>
        </is>
      </c>
      <c r="G72" s="11" t="inlineStr">
        <is>
          <t>Esso</t>
        </is>
      </c>
      <c r="H72" s="11" t="inlineStr">
        <is>
          <t>Brandstof</t>
        </is>
      </c>
      <c r="I72" s="11" t="inlineStr">
        <is>
          <t>Prive</t>
        </is>
      </c>
      <c r="J72" s="11" t="inlineStr">
        <is>
          <t>Ja</t>
        </is>
      </c>
      <c r="K72" s="12" t="n">
        <v>6.25</v>
      </c>
      <c r="L72" s="11" t="n"/>
      <c r="M72" s="11" t="inlineStr"/>
      <c r="N72" s="11" t="inlineStr"/>
    </row>
    <row r="73">
      <c r="A73" s="10" t="n">
        <v>46185</v>
      </c>
      <c r="B73" s="11">
        <f>ISOWEEKNUM(A73)</f>
        <v/>
      </c>
      <c r="C73" s="10">
        <f>A73-WEEKDAY(A73,2)+1</f>
        <v/>
      </c>
      <c r="D73" s="11">
        <f>TEXT(A73,"mmm yyyy")</f>
        <v/>
      </c>
      <c r="E73" s="11" t="inlineStr">
        <is>
          <t>Uit</t>
        </is>
      </c>
      <c r="F73" s="11" t="inlineStr">
        <is>
          <t>Jumbo Larenseweg</t>
        </is>
      </c>
      <c r="G73" s="11" t="inlineStr">
        <is>
          <t>Jumbo</t>
        </is>
      </c>
      <c r="H73" s="11" t="inlineStr">
        <is>
          <t>Boodschappen</t>
        </is>
      </c>
      <c r="I73" s="11" t="inlineStr">
        <is>
          <t>Prive</t>
        </is>
      </c>
      <c r="J73" s="11" t="inlineStr">
        <is>
          <t>Ja</t>
        </is>
      </c>
      <c r="K73" s="12" t="n">
        <v>17.88</v>
      </c>
      <c r="L73" s="11" t="n"/>
      <c r="M73" s="11" t="inlineStr"/>
      <c r="N73" s="11" t="inlineStr"/>
    </row>
    <row r="74">
      <c r="A74" s="10" t="n">
        <v>46185</v>
      </c>
      <c r="B74" s="11">
        <f>ISOWEEKNUM(A74)</f>
        <v/>
      </c>
      <c r="C74" s="10">
        <f>A74-WEEKDAY(A74,2)+1</f>
        <v/>
      </c>
      <c r="D74" s="11">
        <f>TEXT(A74,"mmm yyyy")</f>
        <v/>
      </c>
      <c r="E74" s="11" t="inlineStr">
        <is>
          <t>Uit</t>
        </is>
      </c>
      <c r="F74" s="11" t="inlineStr">
        <is>
          <t>Sumup arda S Barbers</t>
        </is>
      </c>
      <c r="G74" s="11" t="inlineStr">
        <is>
          <t>Barbier</t>
        </is>
      </c>
      <c r="H74" s="11" t="inlineStr">
        <is>
          <t>Persoonlijk</t>
        </is>
      </c>
      <c r="I74" s="11" t="inlineStr">
        <is>
          <t>Prive</t>
        </is>
      </c>
      <c r="J74" s="11" t="inlineStr">
        <is>
          <t>Ja</t>
        </is>
      </c>
      <c r="K74" s="12" t="n">
        <v>10</v>
      </c>
      <c r="L74" s="11" t="n"/>
      <c r="M74" s="11" t="inlineStr"/>
      <c r="N74" s="11" t="inlineStr">
        <is>
          <t>Kapper</t>
        </is>
      </c>
    </row>
    <row r="75">
      <c r="A75" s="17" t="n">
        <v>46185</v>
      </c>
      <c r="B75" s="15">
        <f>ISOWEEKNUM(A75)</f>
        <v/>
      </c>
      <c r="C75" s="17">
        <f>A75-WEEKDAY(A75,2)+1</f>
        <v/>
      </c>
      <c r="D75" s="15">
        <f>TEXT(A75,"mmm yyyy")</f>
        <v/>
      </c>
      <c r="E75" s="15" t="inlineStr">
        <is>
          <t>Uit</t>
        </is>
      </c>
      <c r="F75" s="15" t="inlineStr">
        <is>
          <t>Checkify.pro Subs Fees</t>
        </is>
      </c>
      <c r="G75" s="15" t="inlineStr">
        <is>
          <t>Checkify.pro</t>
        </is>
      </c>
      <c r="H75" s="15" t="inlineStr">
        <is>
          <t>Software &amp; Tools</t>
        </is>
      </c>
      <c r="I75" s="15" t="inlineStr">
        <is>
          <t>Zakelijk</t>
        </is>
      </c>
      <c r="J75" s="15" t="inlineStr">
        <is>
          <t>Nee</t>
        </is>
      </c>
      <c r="K75" s="18" t="n">
        <v>25.12</v>
      </c>
      <c r="L75" s="15" t="n"/>
      <c r="M75" s="15" t="inlineStr"/>
      <c r="N75" s="15" t="inlineStr"/>
    </row>
    <row r="76">
      <c r="A76" s="17" t="n">
        <v>46185</v>
      </c>
      <c r="B76" s="15">
        <f>ISOWEEKNUM(A76)</f>
        <v/>
      </c>
      <c r="C76" s="17">
        <f>A76-WEEKDAY(A76,2)+1</f>
        <v/>
      </c>
      <c r="D76" s="15">
        <f>TEXT(A76,"mmm yyyy")</f>
        <v/>
      </c>
      <c r="E76" s="15" t="inlineStr">
        <is>
          <t>Uit</t>
        </is>
      </c>
      <c r="F76" s="15" t="inlineStr">
        <is>
          <t>To HK Jinchenyun CD000749</t>
        </is>
      </c>
      <c r="G76" s="15" t="inlineStr">
        <is>
          <t>HK Jinchenyun</t>
        </is>
      </c>
      <c r="H76" s="15" t="inlineStr">
        <is>
          <t>Voorraad/Leverancier</t>
        </is>
      </c>
      <c r="I76" s="15" t="inlineStr">
        <is>
          <t>Zakelijk</t>
        </is>
      </c>
      <c r="J76" s="15" t="inlineStr">
        <is>
          <t>Nee</t>
        </is>
      </c>
      <c r="K76" s="18" t="n">
        <v>10000</v>
      </c>
      <c r="L76" s="15" t="n"/>
      <c r="M76" s="15" t="inlineStr"/>
      <c r="N76" s="15" t="inlineStr">
        <is>
          <t>Leverancier China</t>
        </is>
      </c>
    </row>
    <row r="77">
      <c r="A77" s="13" t="n">
        <v>46185</v>
      </c>
      <c r="B77" s="14">
        <f>ISOWEEKNUM(A77)</f>
        <v/>
      </c>
      <c r="C77" s="13">
        <f>A77-WEEKDAY(A77,2)+1</f>
        <v/>
      </c>
      <c r="D77" s="14">
        <f>TEXT(A77,"mmm yyyy")</f>
        <v/>
      </c>
      <c r="E77" s="14" t="inlineStr">
        <is>
          <t>In</t>
        </is>
      </c>
      <c r="F77" s="14" t="inlineStr">
        <is>
          <t>Money added Stripe O9G9M2</t>
        </is>
      </c>
      <c r="G77" s="14" t="inlineStr">
        <is>
          <t>Stripe</t>
        </is>
      </c>
      <c r="H77" s="14" t="inlineStr">
        <is>
          <t>Omzet</t>
        </is>
      </c>
      <c r="I77" s="14" t="inlineStr">
        <is>
          <t>Zakelijk</t>
        </is>
      </c>
      <c r="J77" s="14" t="inlineStr">
        <is>
          <t>Nee</t>
        </is>
      </c>
      <c r="K77" s="15" t="n"/>
      <c r="L77" s="16" t="n">
        <v>2058.21</v>
      </c>
      <c r="M77" s="15" t="inlineStr"/>
      <c r="N77" s="14" t="inlineStr"/>
    </row>
    <row r="78">
      <c r="A78" s="17" t="n">
        <v>46185</v>
      </c>
      <c r="B78" s="15">
        <f>ISOWEEKNUM(A78)</f>
        <v/>
      </c>
      <c r="C78" s="17">
        <f>A78-WEEKDAY(A78,2)+1</f>
        <v/>
      </c>
      <c r="D78" s="15">
        <f>TEXT(A78,"mmm yyyy")</f>
        <v/>
      </c>
      <c r="E78" s="15" t="inlineStr">
        <is>
          <t>Uit</t>
        </is>
      </c>
      <c r="F78" s="15" t="inlineStr">
        <is>
          <t>To CC Ecommerce 0722</t>
        </is>
      </c>
      <c r="G78" s="15" t="inlineStr">
        <is>
          <t>CC Ecommerce Solutions</t>
        </is>
      </c>
      <c r="H78" s="15" t="inlineStr">
        <is>
          <t>Voorraad/Leverancier</t>
        </is>
      </c>
      <c r="I78" s="15" t="inlineStr">
        <is>
          <t>Zakelijk</t>
        </is>
      </c>
      <c r="J78" s="15" t="inlineStr">
        <is>
          <t>Nee</t>
        </is>
      </c>
      <c r="K78" s="18" t="n">
        <v>4500</v>
      </c>
      <c r="L78" s="15" t="n"/>
      <c r="M78" s="15" t="inlineStr"/>
      <c r="N78" s="15" t="inlineStr"/>
    </row>
    <row r="79">
      <c r="A79" s="17" t="n">
        <v>46184</v>
      </c>
      <c r="B79" s="15">
        <f>ISOWEEKNUM(A79)</f>
        <v/>
      </c>
      <c r="C79" s="17">
        <f>A79-WEEKDAY(A79,2)+1</f>
        <v/>
      </c>
      <c r="D79" s="15">
        <f>TEXT(A79,"mmm yyyy")</f>
        <v/>
      </c>
      <c r="E79" s="15" t="inlineStr">
        <is>
          <t>Uit</t>
        </is>
      </c>
      <c r="F79" s="15" t="inlineStr">
        <is>
          <t>Higgsfield Inc</t>
        </is>
      </c>
      <c r="G79" s="15" t="inlineStr">
        <is>
          <t>Higgsfield</t>
        </is>
      </c>
      <c r="H79" s="15" t="inlineStr">
        <is>
          <t>Software &amp; Tools</t>
        </is>
      </c>
      <c r="I79" s="15" t="inlineStr">
        <is>
          <t>Zakelijk</t>
        </is>
      </c>
      <c r="J79" s="15" t="inlineStr">
        <is>
          <t>Nee</t>
        </is>
      </c>
      <c r="K79" s="18" t="n">
        <v>9.81</v>
      </c>
      <c r="L79" s="15" t="n"/>
      <c r="M79" s="15" t="inlineStr"/>
      <c r="N79" s="15" t="inlineStr"/>
    </row>
    <row r="80">
      <c r="A80" s="17" t="n">
        <v>46184</v>
      </c>
      <c r="B80" s="15">
        <f>ISOWEEKNUM(A80)</f>
        <v/>
      </c>
      <c r="C80" s="17">
        <f>A80-WEEKDAY(A80,2)+1</f>
        <v/>
      </c>
      <c r="D80" s="15">
        <f>TEXT(A80,"mmm yyyy")</f>
        <v/>
      </c>
      <c r="E80" s="15" t="inlineStr">
        <is>
          <t>Uit</t>
        </is>
      </c>
      <c r="F80" s="15" t="inlineStr">
        <is>
          <t>Klaviyo Inc Software</t>
        </is>
      </c>
      <c r="G80" s="15" t="inlineStr">
        <is>
          <t>Klaviyo</t>
        </is>
      </c>
      <c r="H80" s="15" t="inlineStr">
        <is>
          <t>Software &amp; Tools</t>
        </is>
      </c>
      <c r="I80" s="15" t="inlineStr">
        <is>
          <t>Zakelijk</t>
        </is>
      </c>
      <c r="J80" s="15" t="inlineStr">
        <is>
          <t>Nee</t>
        </is>
      </c>
      <c r="K80" s="18" t="n">
        <v>10.84</v>
      </c>
      <c r="L80" s="15" t="n"/>
      <c r="M80" s="15" t="inlineStr">
        <is>
          <t>$12.50</t>
        </is>
      </c>
      <c r="N80" s="15" t="inlineStr"/>
    </row>
    <row r="81">
      <c r="A81" s="10" t="n">
        <v>46184</v>
      </c>
      <c r="B81" s="11">
        <f>ISOWEEKNUM(A81)</f>
        <v/>
      </c>
      <c r="C81" s="10">
        <f>A81-WEEKDAY(A81,2)+1</f>
        <v/>
      </c>
      <c r="D81" s="11">
        <f>TEXT(A81,"mmm yyyy")</f>
        <v/>
      </c>
      <c r="E81" s="11" t="inlineStr">
        <is>
          <t>Uit</t>
        </is>
      </c>
      <c r="F81" s="11" t="inlineStr">
        <is>
          <t>Moonpay exodus 7423</t>
        </is>
      </c>
      <c r="G81" s="11" t="inlineStr">
        <is>
          <t>Moonpay</t>
        </is>
      </c>
      <c r="H81" s="11" t="inlineStr">
        <is>
          <t>Crypto</t>
        </is>
      </c>
      <c r="I81" s="11" t="inlineStr">
        <is>
          <t>Prive</t>
        </is>
      </c>
      <c r="J81" s="11" t="inlineStr">
        <is>
          <t>Ja</t>
        </is>
      </c>
      <c r="K81" s="12" t="n">
        <v>95.23999999999999</v>
      </c>
      <c r="L81" s="11" t="n"/>
      <c r="M81" s="11" t="inlineStr">
        <is>
          <t>$110.00</t>
        </is>
      </c>
      <c r="N81" s="11" t="inlineStr">
        <is>
          <t>Crypto - verifieer</t>
        </is>
      </c>
    </row>
    <row r="82">
      <c r="A82" s="10" t="n">
        <v>46184</v>
      </c>
      <c r="B82" s="11">
        <f>ISOWEEKNUM(A82)</f>
        <v/>
      </c>
      <c r="C82" s="10">
        <f>A82-WEEKDAY(A82,2)+1</f>
        <v/>
      </c>
      <c r="D82" s="11">
        <f>TEXT(A82,"mmm yyyy")</f>
        <v/>
      </c>
      <c r="E82" s="11" t="inlineStr">
        <is>
          <t>Uit</t>
        </is>
      </c>
      <c r="F82" s="11" t="inlineStr">
        <is>
          <t>Moonpay exodus 3823</t>
        </is>
      </c>
      <c r="G82" s="11" t="inlineStr">
        <is>
          <t>Moonpay</t>
        </is>
      </c>
      <c r="H82" s="11" t="inlineStr">
        <is>
          <t>Crypto</t>
        </is>
      </c>
      <c r="I82" s="11" t="inlineStr">
        <is>
          <t>Prive</t>
        </is>
      </c>
      <c r="J82" s="11" t="inlineStr">
        <is>
          <t>Ja</t>
        </is>
      </c>
      <c r="K82" s="12" t="n">
        <v>51.98</v>
      </c>
      <c r="L82" s="11" t="n"/>
      <c r="M82" s="11" t="inlineStr">
        <is>
          <t>$60.00</t>
        </is>
      </c>
      <c r="N82" s="11" t="inlineStr">
        <is>
          <t>Crypto - verifieer</t>
        </is>
      </c>
    </row>
    <row r="83">
      <c r="A83" s="10" t="n">
        <v>46184</v>
      </c>
      <c r="B83" s="11">
        <f>ISOWEEKNUM(A83)</f>
        <v/>
      </c>
      <c r="C83" s="10">
        <f>A83-WEEKDAY(A83,2)+1</f>
        <v/>
      </c>
      <c r="D83" s="11">
        <f>TEXT(A83,"mmm yyyy")</f>
        <v/>
      </c>
      <c r="E83" s="11" t="inlineStr">
        <is>
          <t>Uit</t>
        </is>
      </c>
      <c r="F83" s="11" t="inlineStr">
        <is>
          <t>Moonpay exodus 9979</t>
        </is>
      </c>
      <c r="G83" s="11" t="inlineStr">
        <is>
          <t>Moonpay</t>
        </is>
      </c>
      <c r="H83" s="11" t="inlineStr">
        <is>
          <t>Crypto</t>
        </is>
      </c>
      <c r="I83" s="11" t="inlineStr">
        <is>
          <t>Prive</t>
        </is>
      </c>
      <c r="J83" s="11" t="inlineStr">
        <is>
          <t>Ja</t>
        </is>
      </c>
      <c r="K83" s="12" t="n">
        <v>51.95</v>
      </c>
      <c r="L83" s="11" t="n"/>
      <c r="M83" s="11" t="inlineStr">
        <is>
          <t>$60.00</t>
        </is>
      </c>
      <c r="N83" s="11" t="inlineStr">
        <is>
          <t>Crypto - verifieer</t>
        </is>
      </c>
    </row>
    <row r="84">
      <c r="A84" s="10" t="n">
        <v>46184</v>
      </c>
      <c r="B84" s="11">
        <f>ISOWEEKNUM(A84)</f>
        <v/>
      </c>
      <c r="C84" s="10">
        <f>A84-WEEKDAY(A84,2)+1</f>
        <v/>
      </c>
      <c r="D84" s="11">
        <f>TEXT(A84,"mmm yyyy")</f>
        <v/>
      </c>
      <c r="E84" s="11" t="inlineStr">
        <is>
          <t>Uit</t>
        </is>
      </c>
      <c r="F84" s="11" t="inlineStr">
        <is>
          <t>Shell Station Ruwiel 0242</t>
        </is>
      </c>
      <c r="G84" s="11" t="inlineStr">
        <is>
          <t>Shell</t>
        </is>
      </c>
      <c r="H84" s="11" t="inlineStr">
        <is>
          <t>Brandstof</t>
        </is>
      </c>
      <c r="I84" s="11" t="inlineStr">
        <is>
          <t>Prive</t>
        </is>
      </c>
      <c r="J84" s="11" t="inlineStr">
        <is>
          <t>Ja</t>
        </is>
      </c>
      <c r="K84" s="12" t="n">
        <v>3.74</v>
      </c>
      <c r="L84" s="11" t="n"/>
      <c r="M84" s="11" t="inlineStr"/>
      <c r="N84" s="11" t="inlineStr"/>
    </row>
    <row r="85">
      <c r="A85" s="17" t="n">
        <v>46184</v>
      </c>
      <c r="B85" s="15">
        <f>ISOWEEKNUM(A85)</f>
        <v/>
      </c>
      <c r="C85" s="17">
        <f>A85-WEEKDAY(A85,2)+1</f>
        <v/>
      </c>
      <c r="D85" s="15">
        <f>TEXT(A85,"mmm yyyy")</f>
        <v/>
      </c>
      <c r="E85" s="15" t="inlineStr">
        <is>
          <t>Uit</t>
        </is>
      </c>
      <c r="F85" s="15" t="inlineStr">
        <is>
          <t>Hetzner Online Gmbh</t>
        </is>
      </c>
      <c r="G85" s="15" t="inlineStr">
        <is>
          <t>Hetzner</t>
        </is>
      </c>
      <c r="H85" s="15" t="inlineStr">
        <is>
          <t>Software &amp; Tools</t>
        </is>
      </c>
      <c r="I85" s="15" t="inlineStr">
        <is>
          <t>Zakelijk</t>
        </is>
      </c>
      <c r="J85" s="15" t="inlineStr">
        <is>
          <t>Nee</t>
        </is>
      </c>
      <c r="K85" s="18" t="n">
        <v>12.21</v>
      </c>
      <c r="L85" s="15" t="n"/>
      <c r="M85" s="15" t="inlineStr"/>
      <c r="N85" s="15" t="inlineStr">
        <is>
          <t>Server hosting</t>
        </is>
      </c>
    </row>
    <row r="86">
      <c r="A86" s="17" t="n">
        <v>46184</v>
      </c>
      <c r="B86" s="15">
        <f>ISOWEEKNUM(A86)</f>
        <v/>
      </c>
      <c r="C86" s="17">
        <f>A86-WEEKDAY(A86,2)+1</f>
        <v/>
      </c>
      <c r="D86" s="15">
        <f>TEXT(A86,"mmm yyyy")</f>
        <v/>
      </c>
      <c r="E86" s="15" t="inlineStr">
        <is>
          <t>Uit</t>
        </is>
      </c>
      <c r="F86" s="15" t="inlineStr">
        <is>
          <t>Checkify.pro Subs Fees</t>
        </is>
      </c>
      <c r="G86" s="15" t="inlineStr">
        <is>
          <t>Checkify.pro</t>
        </is>
      </c>
      <c r="H86" s="15" t="inlineStr">
        <is>
          <t>Software &amp; Tools</t>
        </is>
      </c>
      <c r="I86" s="15" t="inlineStr">
        <is>
          <t>Zakelijk</t>
        </is>
      </c>
      <c r="J86" s="15" t="inlineStr">
        <is>
          <t>Nee</t>
        </is>
      </c>
      <c r="K86" s="18" t="n">
        <v>25.17</v>
      </c>
      <c r="L86" s="15" t="n"/>
      <c r="M86" s="15" t="inlineStr"/>
      <c r="N86" s="15" t="inlineStr"/>
    </row>
    <row r="87">
      <c r="A87" s="13" t="n">
        <v>46184</v>
      </c>
      <c r="B87" s="14">
        <f>ISOWEEKNUM(A87)</f>
        <v/>
      </c>
      <c r="C87" s="13">
        <f>A87-WEEKDAY(A87,2)+1</f>
        <v/>
      </c>
      <c r="D87" s="14">
        <f>TEXT(A87,"mmm yyyy")</f>
        <v/>
      </c>
      <c r="E87" s="14" t="inlineStr">
        <is>
          <t>In</t>
        </is>
      </c>
      <c r="F87" s="14" t="inlineStr">
        <is>
          <t>Money added Stripe H3M2P7</t>
        </is>
      </c>
      <c r="G87" s="14" t="inlineStr">
        <is>
          <t>Stripe</t>
        </is>
      </c>
      <c r="H87" s="14" t="inlineStr">
        <is>
          <t>Omzet</t>
        </is>
      </c>
      <c r="I87" s="14" t="inlineStr">
        <is>
          <t>Zakelijk</t>
        </is>
      </c>
      <c r="J87" s="14" t="inlineStr">
        <is>
          <t>Nee</t>
        </is>
      </c>
      <c r="K87" s="15" t="n"/>
      <c r="L87" s="16" t="n">
        <v>12610.1</v>
      </c>
      <c r="M87" s="15" t="inlineStr"/>
      <c r="N87" s="14" t="inlineStr"/>
    </row>
    <row r="88">
      <c r="A88" s="17" t="n">
        <v>46183</v>
      </c>
      <c r="B88" s="15">
        <f>ISOWEEKNUM(A88)</f>
        <v/>
      </c>
      <c r="C88" s="17">
        <f>A88-WEEKDAY(A88,2)+1</f>
        <v/>
      </c>
      <c r="D88" s="15">
        <f>TEXT(A88,"mmm yyyy")</f>
        <v/>
      </c>
      <c r="E88" s="15" t="inlineStr">
        <is>
          <t>Uit</t>
        </is>
      </c>
      <c r="F88" s="15" t="inlineStr">
        <is>
          <t>To CC Ecommerce 0722</t>
        </is>
      </c>
      <c r="G88" s="15" t="inlineStr">
        <is>
          <t>CC Ecommerce Solutions</t>
        </is>
      </c>
      <c r="H88" s="15" t="inlineStr">
        <is>
          <t>Voorraad/Leverancier</t>
        </is>
      </c>
      <c r="I88" s="15" t="inlineStr">
        <is>
          <t>Zakelijk</t>
        </is>
      </c>
      <c r="J88" s="15" t="inlineStr">
        <is>
          <t>Nee</t>
        </is>
      </c>
      <c r="K88" s="18" t="n">
        <v>5000</v>
      </c>
      <c r="L88" s="15" t="n"/>
      <c r="M88" s="15" t="inlineStr"/>
      <c r="N88" s="15" t="inlineStr"/>
    </row>
    <row r="89">
      <c r="A89" s="17" t="n">
        <v>46183</v>
      </c>
      <c r="B89" s="15">
        <f>ISOWEEKNUM(A89)</f>
        <v/>
      </c>
      <c r="C89" s="17">
        <f>A89-WEEKDAY(A89,2)+1</f>
        <v/>
      </c>
      <c r="D89" s="15">
        <f>TEXT(A89,"mmm yyyy")</f>
        <v/>
      </c>
      <c r="E89" s="15" t="inlineStr">
        <is>
          <t>Uit</t>
        </is>
      </c>
      <c r="F89" s="15" t="inlineStr">
        <is>
          <t>Paypal kuailuetwa4</t>
        </is>
      </c>
      <c r="G89" s="15" t="inlineStr">
        <is>
          <t>PayPal</t>
        </is>
      </c>
      <c r="H89" s="15" t="inlineStr">
        <is>
          <t>Overig</t>
        </is>
      </c>
      <c r="I89" s="15" t="inlineStr">
        <is>
          <t>Zakelijk</t>
        </is>
      </c>
      <c r="J89" s="15" t="inlineStr">
        <is>
          <t>Nee</t>
        </is>
      </c>
      <c r="K89" s="18" t="n">
        <v>9.99</v>
      </c>
      <c r="L89" s="15" t="n"/>
      <c r="M89" s="15" t="inlineStr"/>
      <c r="N89" s="15" t="inlineStr">
        <is>
          <t>Check</t>
        </is>
      </c>
    </row>
    <row r="90">
      <c r="A90" s="17" t="n">
        <v>46183</v>
      </c>
      <c r="B90" s="15">
        <f>ISOWEEKNUM(A90)</f>
        <v/>
      </c>
      <c r="C90" s="17">
        <f>A90-WEEKDAY(A90,2)+1</f>
        <v/>
      </c>
      <c r="D90" s="15">
        <f>TEXT(A90,"mmm yyyy")</f>
        <v/>
      </c>
      <c r="E90" s="15" t="inlineStr">
        <is>
          <t>Uit</t>
        </is>
      </c>
      <c r="F90" s="15" t="inlineStr">
        <is>
          <t>Higgsfield Inc</t>
        </is>
      </c>
      <c r="G90" s="15" t="inlineStr">
        <is>
          <t>Higgsfield</t>
        </is>
      </c>
      <c r="H90" s="15" t="inlineStr">
        <is>
          <t>Software &amp; Tools</t>
        </is>
      </c>
      <c r="I90" s="15" t="inlineStr">
        <is>
          <t>Zakelijk</t>
        </is>
      </c>
      <c r="J90" s="15" t="inlineStr">
        <is>
          <t>Nee</t>
        </is>
      </c>
      <c r="K90" s="18" t="n">
        <v>58.25</v>
      </c>
      <c r="L90" s="15" t="n"/>
      <c r="M90" s="15" t="inlineStr">
        <is>
          <t>$67.23</t>
        </is>
      </c>
      <c r="N90" s="15" t="inlineStr"/>
    </row>
    <row r="91">
      <c r="A91" s="10" t="n">
        <v>46183</v>
      </c>
      <c r="B91" s="11">
        <f>ISOWEEKNUM(A91)</f>
        <v/>
      </c>
      <c r="C91" s="10">
        <f>A91-WEEKDAY(A91,2)+1</f>
        <v/>
      </c>
      <c r="D91" s="11">
        <f>TEXT(A91,"mmm yyyy")</f>
        <v/>
      </c>
      <c r="E91" s="11" t="inlineStr">
        <is>
          <t>Uit</t>
        </is>
      </c>
      <c r="F91" s="11" t="inlineStr">
        <is>
          <t>Thuisbezorgd.nl</t>
        </is>
      </c>
      <c r="G91" s="11" t="inlineStr">
        <is>
          <t>Thuisbezorgd</t>
        </is>
      </c>
      <c r="H91" s="11" t="inlineStr">
        <is>
          <t>Eten &amp; Restaurant</t>
        </is>
      </c>
      <c r="I91" s="11" t="inlineStr">
        <is>
          <t>Prive</t>
        </is>
      </c>
      <c r="J91" s="11" t="inlineStr">
        <is>
          <t>Ja</t>
        </is>
      </c>
      <c r="K91" s="12" t="n">
        <v>52.23</v>
      </c>
      <c r="L91" s="11" t="n"/>
      <c r="M91" s="11" t="inlineStr"/>
      <c r="N91" s="11" t="inlineStr"/>
    </row>
    <row r="92">
      <c r="A92" s="17" t="n">
        <v>46183</v>
      </c>
      <c r="B92" s="15">
        <f>ISOWEEKNUM(A92)</f>
        <v/>
      </c>
      <c r="C92" s="17">
        <f>A92-WEEKDAY(A92,2)+1</f>
        <v/>
      </c>
      <c r="D92" s="15">
        <f>TEXT(A92,"mmm yyyy")</f>
        <v/>
      </c>
      <c r="E92" s="15" t="inlineStr">
        <is>
          <t>Uit</t>
        </is>
      </c>
      <c r="F92" s="15" t="inlineStr">
        <is>
          <t>Checkify.pro Subs Fees</t>
        </is>
      </c>
      <c r="G92" s="15" t="inlineStr">
        <is>
          <t>Checkify.pro</t>
        </is>
      </c>
      <c r="H92" s="15" t="inlineStr">
        <is>
          <t>Software &amp; Tools</t>
        </is>
      </c>
      <c r="I92" s="15" t="inlineStr">
        <is>
          <t>Zakelijk</t>
        </is>
      </c>
      <c r="J92" s="15" t="inlineStr">
        <is>
          <t>Nee</t>
        </is>
      </c>
      <c r="K92" s="18" t="n">
        <v>25.06</v>
      </c>
      <c r="L92" s="15" t="n"/>
      <c r="M92" s="15" t="inlineStr"/>
      <c r="N92" s="15" t="inlineStr"/>
    </row>
    <row r="93">
      <c r="A93" s="13" t="n">
        <v>46183</v>
      </c>
      <c r="B93" s="14">
        <f>ISOWEEKNUM(A93)</f>
        <v/>
      </c>
      <c r="C93" s="13">
        <f>A93-WEEKDAY(A93,2)+1</f>
        <v/>
      </c>
      <c r="D93" s="14">
        <f>TEXT(A93,"mmm yyyy")</f>
        <v/>
      </c>
      <c r="E93" s="14" t="inlineStr">
        <is>
          <t>In</t>
        </is>
      </c>
      <c r="F93" s="14" t="inlineStr">
        <is>
          <t>Money added Stripe V3A5E4</t>
        </is>
      </c>
      <c r="G93" s="14" t="inlineStr">
        <is>
          <t>Stripe</t>
        </is>
      </c>
      <c r="H93" s="14" t="inlineStr">
        <is>
          <t>Omzet</t>
        </is>
      </c>
      <c r="I93" s="14" t="inlineStr">
        <is>
          <t>Zakelijk</t>
        </is>
      </c>
      <c r="J93" s="14" t="inlineStr">
        <is>
          <t>Nee</t>
        </is>
      </c>
      <c r="K93" s="15" t="n"/>
      <c r="L93" s="16" t="n">
        <v>3641</v>
      </c>
      <c r="M93" s="15" t="inlineStr"/>
      <c r="N93" s="14" t="inlineStr"/>
    </row>
    <row r="94">
      <c r="A94" s="17" t="n">
        <v>46183</v>
      </c>
      <c r="B94" s="15">
        <f>ISOWEEKNUM(A94)</f>
        <v/>
      </c>
      <c r="C94" s="17">
        <f>A94-WEEKDAY(A94,2)+1</f>
        <v/>
      </c>
      <c r="D94" s="15">
        <f>TEXT(A94,"mmm yyyy")</f>
        <v/>
      </c>
      <c r="E94" s="15" t="inlineStr">
        <is>
          <t>Uit</t>
        </is>
      </c>
      <c r="F94" s="15" t="inlineStr">
        <is>
          <t>To HK Jinchenyun CD000749</t>
        </is>
      </c>
      <c r="G94" s="15" t="inlineStr">
        <is>
          <t>HK Jinchenyun</t>
        </is>
      </c>
      <c r="H94" s="15" t="inlineStr">
        <is>
          <t>Voorraad/Leverancier</t>
        </is>
      </c>
      <c r="I94" s="15" t="inlineStr">
        <is>
          <t>Zakelijk</t>
        </is>
      </c>
      <c r="J94" s="15" t="inlineStr">
        <is>
          <t>Nee</t>
        </is>
      </c>
      <c r="K94" s="18" t="n">
        <v>2000</v>
      </c>
      <c r="L94" s="15" t="n"/>
      <c r="M94" s="15" t="inlineStr"/>
      <c r="N94" s="15" t="inlineStr"/>
    </row>
    <row r="95">
      <c r="A95" s="17" t="n">
        <v>46182</v>
      </c>
      <c r="B95" s="15">
        <f>ISOWEEKNUM(A95)</f>
        <v/>
      </c>
      <c r="C95" s="17">
        <f>A95-WEEKDAY(A95,2)+1</f>
        <v/>
      </c>
      <c r="D95" s="15">
        <f>TEXT(A95,"mmm yyyy")</f>
        <v/>
      </c>
      <c r="E95" s="15" t="inlineStr">
        <is>
          <t>Uit</t>
        </is>
      </c>
      <c r="F95" s="15" t="inlineStr">
        <is>
          <t>Wetracked.io</t>
        </is>
      </c>
      <c r="G95" s="15" t="inlineStr">
        <is>
          <t>Wetracked</t>
        </is>
      </c>
      <c r="H95" s="15" t="inlineStr">
        <is>
          <t>Software &amp; Tools</t>
        </is>
      </c>
      <c r="I95" s="15" t="inlineStr">
        <is>
          <t>Zakelijk</t>
        </is>
      </c>
      <c r="J95" s="15" t="inlineStr">
        <is>
          <t>Nee</t>
        </is>
      </c>
      <c r="K95" s="18" t="n">
        <v>94.47</v>
      </c>
      <c r="L95" s="15" t="n"/>
      <c r="M95" s="15" t="inlineStr">
        <is>
          <t>$108.90</t>
        </is>
      </c>
      <c r="N95" s="15" t="inlineStr">
        <is>
          <t>Tracking tool</t>
        </is>
      </c>
    </row>
    <row r="96">
      <c r="A96" s="17" t="n">
        <v>46182</v>
      </c>
      <c r="B96" s="15">
        <f>ISOWEEKNUM(A96)</f>
        <v/>
      </c>
      <c r="C96" s="17">
        <f>A96-WEEKDAY(A96,2)+1</f>
        <v/>
      </c>
      <c r="D96" s="15">
        <f>TEXT(A96,"mmm yyyy")</f>
        <v/>
      </c>
      <c r="E96" s="15" t="inlineStr">
        <is>
          <t>Uit</t>
        </is>
      </c>
      <c r="F96" s="15" t="inlineStr">
        <is>
          <t>Vercel</t>
        </is>
      </c>
      <c r="G96" s="15" t="inlineStr">
        <is>
          <t>Vercel</t>
        </is>
      </c>
      <c r="H96" s="15" t="inlineStr">
        <is>
          <t>Software &amp; Tools</t>
        </is>
      </c>
      <c r="I96" s="15" t="inlineStr">
        <is>
          <t>Zakelijk</t>
        </is>
      </c>
      <c r="J96" s="15" t="inlineStr">
        <is>
          <t>Nee</t>
        </is>
      </c>
      <c r="K96" s="18" t="n">
        <v>21.91</v>
      </c>
      <c r="L96" s="15" t="n"/>
      <c r="M96" s="15" t="inlineStr">
        <is>
          <t>$25.26</t>
        </is>
      </c>
      <c r="N96" s="15" t="inlineStr">
        <is>
          <t>Hosting</t>
        </is>
      </c>
    </row>
    <row r="97">
      <c r="A97" s="17" t="n">
        <v>46182</v>
      </c>
      <c r="B97" s="15">
        <f>ISOWEEKNUM(A97)</f>
        <v/>
      </c>
      <c r="C97" s="17">
        <f>A97-WEEKDAY(A97,2)+1</f>
        <v/>
      </c>
      <c r="D97" s="15">
        <f>TEXT(A97,"mmm yyyy")</f>
        <v/>
      </c>
      <c r="E97" s="15" t="inlineStr">
        <is>
          <t>Uit</t>
        </is>
      </c>
      <c r="F97" s="15" t="inlineStr">
        <is>
          <t>Anthropic Claude Sub</t>
        </is>
      </c>
      <c r="G97" s="15" t="inlineStr">
        <is>
          <t>Anthropic</t>
        </is>
      </c>
      <c r="H97" s="15" t="inlineStr">
        <is>
          <t>Software &amp; Tools</t>
        </is>
      </c>
      <c r="I97" s="15" t="inlineStr">
        <is>
          <t>Zakelijk</t>
        </is>
      </c>
      <c r="J97" s="15" t="inlineStr">
        <is>
          <t>Nee</t>
        </is>
      </c>
      <c r="K97" s="18" t="n">
        <v>108.9</v>
      </c>
      <c r="L97" s="15" t="n"/>
      <c r="M97" s="15" t="inlineStr"/>
      <c r="N97" s="15" t="inlineStr"/>
    </row>
    <row r="98">
      <c r="A98" s="10" t="n">
        <v>46182</v>
      </c>
      <c r="B98" s="11">
        <f>ISOWEEKNUM(A98)</f>
        <v/>
      </c>
      <c r="C98" s="10">
        <f>A98-WEEKDAY(A98,2)+1</f>
        <v/>
      </c>
      <c r="D98" s="11">
        <f>TEXT(A98,"mmm yyyy")</f>
        <v/>
      </c>
      <c r="E98" s="11" t="inlineStr">
        <is>
          <t>Uit</t>
        </is>
      </c>
      <c r="F98" s="11" t="inlineStr">
        <is>
          <t>Texaco Maartensdijk</t>
        </is>
      </c>
      <c r="G98" s="11" t="inlineStr">
        <is>
          <t>Texaco</t>
        </is>
      </c>
      <c r="H98" s="11" t="inlineStr">
        <is>
          <t>Brandstof</t>
        </is>
      </c>
      <c r="I98" s="11" t="inlineStr">
        <is>
          <t>Prive</t>
        </is>
      </c>
      <c r="J98" s="11" t="inlineStr">
        <is>
          <t>Ja</t>
        </is>
      </c>
      <c r="K98" s="12" t="n">
        <v>22.19</v>
      </c>
      <c r="L98" s="11" t="n"/>
      <c r="M98" s="11" t="inlineStr"/>
      <c r="N98" s="11" t="inlineStr"/>
    </row>
    <row r="99">
      <c r="A99" s="17" t="n">
        <v>46182</v>
      </c>
      <c r="B99" s="15">
        <f>ISOWEEKNUM(A99)</f>
        <v/>
      </c>
      <c r="C99" s="17">
        <f>A99-WEEKDAY(A99,2)+1</f>
        <v/>
      </c>
      <c r="D99" s="15">
        <f>TEXT(A99,"mmm yyyy")</f>
        <v/>
      </c>
      <c r="E99" s="15" t="inlineStr">
        <is>
          <t>Uit</t>
        </is>
      </c>
      <c r="F99" s="15" t="inlineStr">
        <is>
          <t>Shopify 541389840</t>
        </is>
      </c>
      <c r="G99" s="15" t="inlineStr">
        <is>
          <t>Shopify</t>
        </is>
      </c>
      <c r="H99" s="15" t="inlineStr">
        <is>
          <t>Software &amp; Tools</t>
        </is>
      </c>
      <c r="I99" s="15" t="inlineStr">
        <is>
          <t>Zakelijk</t>
        </is>
      </c>
      <c r="J99" s="15" t="inlineStr">
        <is>
          <t>Nee</t>
        </is>
      </c>
      <c r="K99" s="18" t="n">
        <v>92.15000000000001</v>
      </c>
      <c r="L99" s="15" t="n"/>
      <c r="M99" s="15" t="inlineStr"/>
      <c r="N99" s="15" t="inlineStr"/>
    </row>
    <row r="100">
      <c r="A100" s="17" t="n">
        <v>46182</v>
      </c>
      <c r="B100" s="15">
        <f>ISOWEEKNUM(A100)</f>
        <v/>
      </c>
      <c r="C100" s="17">
        <f>A100-WEEKDAY(A100,2)+1</f>
        <v/>
      </c>
      <c r="D100" s="15">
        <f>TEXT(A100,"mmm yyyy")</f>
        <v/>
      </c>
      <c r="E100" s="15" t="inlineStr">
        <is>
          <t>Uit</t>
        </is>
      </c>
      <c r="F100" s="15" t="inlineStr">
        <is>
          <t>Dhgate.com</t>
        </is>
      </c>
      <c r="G100" s="15" t="inlineStr">
        <is>
          <t>DHgate</t>
        </is>
      </c>
      <c r="H100" s="15" t="inlineStr">
        <is>
          <t>Voorraad/Leverancier</t>
        </is>
      </c>
      <c r="I100" s="15" t="inlineStr">
        <is>
          <t>Zakelijk</t>
        </is>
      </c>
      <c r="J100" s="15" t="inlineStr">
        <is>
          <t>Nee</t>
        </is>
      </c>
      <c r="K100" s="18" t="n">
        <v>95.98</v>
      </c>
      <c r="L100" s="15" t="n"/>
      <c r="M100" s="15" t="inlineStr"/>
      <c r="N100" s="15" t="inlineStr">
        <is>
          <t>Inkoop/sample</t>
        </is>
      </c>
    </row>
    <row r="101">
      <c r="A101" s="13" t="n">
        <v>46182</v>
      </c>
      <c r="B101" s="14">
        <f>ISOWEEKNUM(A101)</f>
        <v/>
      </c>
      <c r="C101" s="13">
        <f>A101-WEEKDAY(A101,2)+1</f>
        <v/>
      </c>
      <c r="D101" s="14">
        <f>TEXT(A101,"mmm yyyy")</f>
        <v/>
      </c>
      <c r="E101" s="14" t="inlineStr">
        <is>
          <t>In</t>
        </is>
      </c>
      <c r="F101" s="14" t="inlineStr">
        <is>
          <t>Money added Stripe V0Q5L6</t>
        </is>
      </c>
      <c r="G101" s="14" t="inlineStr">
        <is>
          <t>Stripe</t>
        </is>
      </c>
      <c r="H101" s="14" t="inlineStr">
        <is>
          <t>Omzet</t>
        </is>
      </c>
      <c r="I101" s="14" t="inlineStr">
        <is>
          <t>Zakelijk</t>
        </is>
      </c>
      <c r="J101" s="14" t="inlineStr">
        <is>
          <t>Nee</t>
        </is>
      </c>
      <c r="K101" s="15" t="n"/>
      <c r="L101" s="16" t="n">
        <v>4436.57</v>
      </c>
      <c r="M101" s="15" t="inlineStr"/>
      <c r="N101" s="14" t="inlineStr"/>
    </row>
    <row r="102">
      <c r="A102" s="17" t="n">
        <v>46181</v>
      </c>
      <c r="B102" s="15">
        <f>ISOWEEKNUM(A102)</f>
        <v/>
      </c>
      <c r="C102" s="17">
        <f>A102-WEEKDAY(A102,2)+1</f>
        <v/>
      </c>
      <c r="D102" s="15">
        <f>TEXT(A102,"mmm yyyy")</f>
        <v/>
      </c>
      <c r="E102" s="15" t="inlineStr">
        <is>
          <t>Uit</t>
        </is>
      </c>
      <c r="F102" s="15" t="inlineStr">
        <is>
          <t>To CC Ecommerce 0722</t>
        </is>
      </c>
      <c r="G102" s="15" t="inlineStr">
        <is>
          <t>CC Ecommerce Solutions</t>
        </is>
      </c>
      <c r="H102" s="15" t="inlineStr">
        <is>
          <t>Voorraad/Leverancier</t>
        </is>
      </c>
      <c r="I102" s="15" t="inlineStr">
        <is>
          <t>Zakelijk</t>
        </is>
      </c>
      <c r="J102" s="15" t="inlineStr">
        <is>
          <t>Nee</t>
        </is>
      </c>
      <c r="K102" s="18" t="n">
        <v>2000</v>
      </c>
      <c r="L102" s="15" t="n"/>
      <c r="M102" s="15" t="inlineStr"/>
      <c r="N102" s="15" t="inlineStr"/>
    </row>
    <row r="103">
      <c r="A103" s="17" t="n">
        <v>46181</v>
      </c>
      <c r="B103" s="15">
        <f>ISOWEEKNUM(A103)</f>
        <v/>
      </c>
      <c r="C103" s="17">
        <f>A103-WEEKDAY(A103,2)+1</f>
        <v/>
      </c>
      <c r="D103" s="15">
        <f>TEXT(A103,"mmm yyyy")</f>
        <v/>
      </c>
      <c r="E103" s="15" t="inlineStr">
        <is>
          <t>Uit</t>
        </is>
      </c>
      <c r="F103" s="15" t="inlineStr">
        <is>
          <t>Capcut</t>
        </is>
      </c>
      <c r="G103" s="15" t="inlineStr">
        <is>
          <t>CapCut</t>
        </is>
      </c>
      <c r="H103" s="15" t="inlineStr">
        <is>
          <t>Software &amp; Tools</t>
        </is>
      </c>
      <c r="I103" s="15" t="inlineStr">
        <is>
          <t>Zakelijk</t>
        </is>
      </c>
      <c r="J103" s="15" t="inlineStr">
        <is>
          <t>Nee</t>
        </is>
      </c>
      <c r="K103" s="18" t="n">
        <v>19</v>
      </c>
      <c r="L103" s="15" t="n"/>
      <c r="M103" s="15" t="inlineStr"/>
      <c r="N103" s="15" t="inlineStr"/>
    </row>
    <row r="104">
      <c r="A104" s="17" t="n">
        <v>46181</v>
      </c>
      <c r="B104" s="15">
        <f>ISOWEEKNUM(A104)</f>
        <v/>
      </c>
      <c r="C104" s="17">
        <f>A104-WEEKDAY(A104,2)+1</f>
        <v/>
      </c>
      <c r="D104" s="15">
        <f>TEXT(A104,"mmm yyyy")</f>
        <v/>
      </c>
      <c r="E104" s="15" t="inlineStr">
        <is>
          <t>Uit</t>
        </is>
      </c>
      <c r="F104" s="15" t="inlineStr">
        <is>
          <t>Checkify.pro</t>
        </is>
      </c>
      <c r="G104" s="15" t="inlineStr">
        <is>
          <t>Checkify.pro</t>
        </is>
      </c>
      <c r="H104" s="15" t="inlineStr">
        <is>
          <t>Software &amp; Tools</t>
        </is>
      </c>
      <c r="I104" s="15" t="inlineStr">
        <is>
          <t>Zakelijk</t>
        </is>
      </c>
      <c r="J104" s="15" t="inlineStr">
        <is>
          <t>Nee</t>
        </is>
      </c>
      <c r="K104" s="18" t="n">
        <v>41.62</v>
      </c>
      <c r="L104" s="15" t="n"/>
      <c r="M104" s="15" t="inlineStr"/>
      <c r="N104" s="15" t="inlineStr"/>
    </row>
    <row r="105">
      <c r="A105" s="10" t="n">
        <v>46181</v>
      </c>
      <c r="B105" s="11">
        <f>ISOWEEKNUM(A105)</f>
        <v/>
      </c>
      <c r="C105" s="10">
        <f>A105-WEEKDAY(A105,2)+1</f>
        <v/>
      </c>
      <c r="D105" s="11">
        <f>TEXT(A105,"mmm yyyy")</f>
        <v/>
      </c>
      <c r="E105" s="11" t="inlineStr">
        <is>
          <t>Uit</t>
        </is>
      </c>
      <c r="F105" s="11" t="inlineStr">
        <is>
          <t>Nimet Doner</t>
        </is>
      </c>
      <c r="G105" s="11" t="inlineStr">
        <is>
          <t>Nimet Doner</t>
        </is>
      </c>
      <c r="H105" s="11" t="inlineStr">
        <is>
          <t>Eten &amp; Restaurant</t>
        </is>
      </c>
      <c r="I105" s="11" t="inlineStr">
        <is>
          <t>Prive</t>
        </is>
      </c>
      <c r="J105" s="11" t="inlineStr">
        <is>
          <t>Ja</t>
        </is>
      </c>
      <c r="K105" s="12" t="n">
        <v>9.5</v>
      </c>
      <c r="L105" s="11" t="n"/>
      <c r="M105" s="11" t="inlineStr"/>
      <c r="N105" s="11" t="inlineStr"/>
    </row>
    <row r="106">
      <c r="A106" s="10" t="n">
        <v>46181</v>
      </c>
      <c r="B106" s="11">
        <f>ISOWEEKNUM(A106)</f>
        <v/>
      </c>
      <c r="C106" s="10">
        <f>A106-WEEKDAY(A106,2)+1</f>
        <v/>
      </c>
      <c r="D106" s="11">
        <f>TEXT(A106,"mmm yyyy")</f>
        <v/>
      </c>
      <c r="E106" s="11" t="inlineStr">
        <is>
          <t>Uit</t>
        </is>
      </c>
      <c r="F106" s="11" t="inlineStr">
        <is>
          <t>Argos Enschede</t>
        </is>
      </c>
      <c r="G106" s="11" t="inlineStr">
        <is>
          <t>Argos</t>
        </is>
      </c>
      <c r="H106" s="11" t="inlineStr">
        <is>
          <t>Kleding</t>
        </is>
      </c>
      <c r="I106" s="11" t="inlineStr">
        <is>
          <t>Prive</t>
        </is>
      </c>
      <c r="J106" s="11" t="inlineStr">
        <is>
          <t>Ja</t>
        </is>
      </c>
      <c r="K106" s="12" t="n">
        <v>21.99</v>
      </c>
      <c r="L106" s="11" t="n"/>
      <c r="M106" s="11" t="inlineStr"/>
      <c r="N106" s="11" t="inlineStr">
        <is>
          <t>Winkel - verifieer</t>
        </is>
      </c>
    </row>
    <row r="107">
      <c r="A107" s="10" t="n">
        <v>46181</v>
      </c>
      <c r="B107" s="11">
        <f>ISOWEEKNUM(A107)</f>
        <v/>
      </c>
      <c r="C107" s="10">
        <f>A107-WEEKDAY(A107,2)+1</f>
        <v/>
      </c>
      <c r="D107" s="11">
        <f>TEXT(A107,"mmm yyyy")</f>
        <v/>
      </c>
      <c r="E107" s="11" t="inlineStr">
        <is>
          <t>Uit</t>
        </is>
      </c>
      <c r="F107" s="11" t="inlineStr">
        <is>
          <t>Bck cigkoftem 053</t>
        </is>
      </c>
      <c r="G107" s="11" t="inlineStr">
        <is>
          <t>Cigkoftem</t>
        </is>
      </c>
      <c r="H107" s="11" t="inlineStr">
        <is>
          <t>Eten &amp; Restaurant</t>
        </is>
      </c>
      <c r="I107" s="11" t="inlineStr">
        <is>
          <t>Prive</t>
        </is>
      </c>
      <c r="J107" s="11" t="inlineStr">
        <is>
          <t>Ja</t>
        </is>
      </c>
      <c r="K107" s="12" t="n">
        <v>8.75</v>
      </c>
      <c r="L107" s="11" t="n"/>
      <c r="M107" s="11" t="inlineStr"/>
      <c r="N107" s="11" t="inlineStr"/>
    </row>
    <row r="108">
      <c r="A108" s="17" t="n">
        <v>46181</v>
      </c>
      <c r="B108" s="15">
        <f>ISOWEEKNUM(A108)</f>
        <v/>
      </c>
      <c r="C108" s="17">
        <f>A108-WEEKDAY(A108,2)+1</f>
        <v/>
      </c>
      <c r="D108" s="15">
        <f>TEXT(A108,"mmm yyyy")</f>
        <v/>
      </c>
      <c r="E108" s="15" t="inlineStr">
        <is>
          <t>Uit</t>
        </is>
      </c>
      <c r="F108" s="15" t="inlineStr">
        <is>
          <t>Checkify.pro Subs Fees</t>
        </is>
      </c>
      <c r="G108" s="15" t="inlineStr">
        <is>
          <t>Checkify.pro</t>
        </is>
      </c>
      <c r="H108" s="15" t="inlineStr">
        <is>
          <t>Software &amp; Tools</t>
        </is>
      </c>
      <c r="I108" s="15" t="inlineStr">
        <is>
          <t>Zakelijk</t>
        </is>
      </c>
      <c r="J108" s="15" t="inlineStr">
        <is>
          <t>Nee</t>
        </is>
      </c>
      <c r="K108" s="18" t="n">
        <v>25.27</v>
      </c>
      <c r="L108" s="15" t="n"/>
      <c r="M108" s="15" t="inlineStr"/>
      <c r="N108" s="15" t="inlineStr"/>
    </row>
    <row r="109">
      <c r="A109" s="13" t="n">
        <v>46181</v>
      </c>
      <c r="B109" s="14">
        <f>ISOWEEKNUM(A109)</f>
        <v/>
      </c>
      <c r="C109" s="13">
        <f>A109-WEEKDAY(A109,2)+1</f>
        <v/>
      </c>
      <c r="D109" s="14">
        <f>TEXT(A109,"mmm yyyy")</f>
        <v/>
      </c>
      <c r="E109" s="14" t="inlineStr">
        <is>
          <t>In</t>
        </is>
      </c>
      <c r="F109" s="14" t="inlineStr">
        <is>
          <t>Money added Stripe E0G2L3</t>
        </is>
      </c>
      <c r="G109" s="14" t="inlineStr">
        <is>
          <t>Stripe</t>
        </is>
      </c>
      <c r="H109" s="14" t="inlineStr">
        <is>
          <t>Omzet</t>
        </is>
      </c>
      <c r="I109" s="14" t="inlineStr">
        <is>
          <t>Zakelijk</t>
        </is>
      </c>
      <c r="J109" s="14" t="inlineStr">
        <is>
          <t>Nee</t>
        </is>
      </c>
      <c r="K109" s="15" t="n"/>
      <c r="L109" s="16" t="n">
        <v>2883.44</v>
      </c>
      <c r="M109" s="15" t="inlineStr"/>
      <c r="N109" s="14" t="inlineStr"/>
    </row>
    <row r="110">
      <c r="A110" s="17" t="n">
        <v>46180</v>
      </c>
      <c r="B110" s="15">
        <f>ISOWEEKNUM(A110)</f>
        <v/>
      </c>
      <c r="C110" s="17">
        <f>A110-WEEKDAY(A110,2)+1</f>
        <v/>
      </c>
      <c r="D110" s="15">
        <f>TEXT(A110,"mmm yyyy")</f>
        <v/>
      </c>
      <c r="E110" s="15" t="inlineStr">
        <is>
          <t>Uit</t>
        </is>
      </c>
      <c r="F110" s="15" t="inlineStr">
        <is>
          <t>Revolut Business Fee Basic plan</t>
        </is>
      </c>
      <c r="G110" s="15" t="inlineStr">
        <is>
          <t>Revolut</t>
        </is>
      </c>
      <c r="H110" s="15" t="inlineStr">
        <is>
          <t>Bankkosten</t>
        </is>
      </c>
      <c r="I110" s="15" t="inlineStr">
        <is>
          <t>Zakelijk</t>
        </is>
      </c>
      <c r="J110" s="15" t="inlineStr">
        <is>
          <t>Nee</t>
        </is>
      </c>
      <c r="K110" s="18" t="n">
        <v>10</v>
      </c>
      <c r="L110" s="15" t="n"/>
      <c r="M110" s="15" t="inlineStr"/>
      <c r="N110" s="15" t="inlineStr"/>
    </row>
    <row r="111">
      <c r="A111" s="10" t="n">
        <v>46180</v>
      </c>
      <c r="B111" s="11">
        <f>ISOWEEKNUM(A111)</f>
        <v/>
      </c>
      <c r="C111" s="10">
        <f>A111-WEEKDAY(A111,2)+1</f>
        <v/>
      </c>
      <c r="D111" s="11">
        <f>TEXT(A111,"mmm yyyy")</f>
        <v/>
      </c>
      <c r="E111" s="11" t="inlineStr">
        <is>
          <t>Uit</t>
        </is>
      </c>
      <c r="F111" s="11" t="inlineStr">
        <is>
          <t>Jd Sports Fashion Bv</t>
        </is>
      </c>
      <c r="G111" s="11" t="inlineStr">
        <is>
          <t>JD Sports</t>
        </is>
      </c>
      <c r="H111" s="11" t="inlineStr">
        <is>
          <t>Kleding</t>
        </is>
      </c>
      <c r="I111" s="11" t="inlineStr">
        <is>
          <t>Prive</t>
        </is>
      </c>
      <c r="J111" s="11" t="inlineStr">
        <is>
          <t>Ja</t>
        </is>
      </c>
      <c r="K111" s="12" t="n">
        <v>80.5</v>
      </c>
      <c r="L111" s="11" t="n"/>
      <c r="M111" s="11" t="inlineStr"/>
      <c r="N111" s="11" t="inlineStr"/>
    </row>
    <row r="112">
      <c r="A112" s="10" t="n">
        <v>46180</v>
      </c>
      <c r="B112" s="11">
        <f>ISOWEEKNUM(A112)</f>
        <v/>
      </c>
      <c r="C112" s="10">
        <f>A112-WEEKDAY(A112,2)+1</f>
        <v/>
      </c>
      <c r="D112" s="11">
        <f>TEXT(A112,"mmm yyyy")</f>
        <v/>
      </c>
      <c r="E112" s="11" t="inlineStr">
        <is>
          <t>Uit</t>
        </is>
      </c>
      <c r="F112" s="11" t="inlineStr">
        <is>
          <t>Primark Enschede</t>
        </is>
      </c>
      <c r="G112" s="11" t="inlineStr">
        <is>
          <t>Primark</t>
        </is>
      </c>
      <c r="H112" s="11" t="inlineStr">
        <is>
          <t>Kleding</t>
        </is>
      </c>
      <c r="I112" s="11" t="inlineStr">
        <is>
          <t>Prive</t>
        </is>
      </c>
      <c r="J112" s="11" t="inlineStr">
        <is>
          <t>Ja</t>
        </is>
      </c>
      <c r="K112" s="12" t="n">
        <v>20.8</v>
      </c>
      <c r="L112" s="11" t="n"/>
      <c r="M112" s="11" t="inlineStr"/>
      <c r="N112" s="11" t="inlineStr"/>
    </row>
    <row r="113">
      <c r="A113" s="10" t="n">
        <v>46180</v>
      </c>
      <c r="B113" s="11">
        <f>ISOWEEKNUM(A113)</f>
        <v/>
      </c>
      <c r="C113" s="10">
        <f>A113-WEEKDAY(A113,2)+1</f>
        <v/>
      </c>
      <c r="D113" s="11">
        <f>TEXT(A113,"mmm yyyy")</f>
        <v/>
      </c>
      <c r="E113" s="11" t="inlineStr">
        <is>
          <t>Uit</t>
        </is>
      </c>
      <c r="F113" s="11" t="inlineStr">
        <is>
          <t>Monnink Snackkraam</t>
        </is>
      </c>
      <c r="G113" s="11" t="inlineStr">
        <is>
          <t>Monnink</t>
        </is>
      </c>
      <c r="H113" s="11" t="inlineStr">
        <is>
          <t>Eten &amp; Restaurant</t>
        </is>
      </c>
      <c r="I113" s="11" t="inlineStr">
        <is>
          <t>Prive</t>
        </is>
      </c>
      <c r="J113" s="11" t="inlineStr">
        <is>
          <t>Ja</t>
        </is>
      </c>
      <c r="K113" s="12" t="n">
        <v>2.75</v>
      </c>
      <c r="L113" s="11" t="n"/>
      <c r="M113" s="11" t="inlineStr"/>
      <c r="N113" s="11" t="inlineStr"/>
    </row>
    <row r="114">
      <c r="A114" s="10" t="n">
        <v>46180</v>
      </c>
      <c r="B114" s="11">
        <f>ISOWEEKNUM(A114)</f>
        <v/>
      </c>
      <c r="C114" s="10">
        <f>A114-WEEKDAY(A114,2)+1</f>
        <v/>
      </c>
      <c r="D114" s="11">
        <f>TEXT(A114,"mmm yyyy")</f>
        <v/>
      </c>
      <c r="E114" s="11" t="inlineStr">
        <is>
          <t>Uit</t>
        </is>
      </c>
      <c r="F114" s="11" t="inlineStr">
        <is>
          <t>Latin Food</t>
        </is>
      </c>
      <c r="G114" s="11" t="inlineStr">
        <is>
          <t>Latin Food</t>
        </is>
      </c>
      <c r="H114" s="11" t="inlineStr">
        <is>
          <t>Eten &amp; Restaurant</t>
        </is>
      </c>
      <c r="I114" s="11" t="inlineStr">
        <is>
          <t>Prive</t>
        </is>
      </c>
      <c r="J114" s="11" t="inlineStr">
        <is>
          <t>Ja</t>
        </is>
      </c>
      <c r="K114" s="12" t="n">
        <v>9.25</v>
      </c>
      <c r="L114" s="11" t="n"/>
      <c r="M114" s="11" t="inlineStr"/>
      <c r="N114" s="11" t="inlineStr"/>
    </row>
    <row r="115">
      <c r="A115" s="10" t="n">
        <v>46180</v>
      </c>
      <c r="B115" s="11">
        <f>ISOWEEKNUM(A115)</f>
        <v/>
      </c>
      <c r="C115" s="10">
        <f>A115-WEEKDAY(A115,2)+1</f>
        <v/>
      </c>
      <c r="D115" s="11">
        <f>TEXT(A115,"mmm yyyy")</f>
        <v/>
      </c>
      <c r="E115" s="11" t="inlineStr">
        <is>
          <t>Uit</t>
        </is>
      </c>
      <c r="F115" s="11" t="inlineStr">
        <is>
          <t>Latin Food</t>
        </is>
      </c>
      <c r="G115" s="11" t="inlineStr">
        <is>
          <t>Latin Food</t>
        </is>
      </c>
      <c r="H115" s="11" t="inlineStr">
        <is>
          <t>Eten &amp; Restaurant</t>
        </is>
      </c>
      <c r="I115" s="11" t="inlineStr">
        <is>
          <t>Prive</t>
        </is>
      </c>
      <c r="J115" s="11" t="inlineStr">
        <is>
          <t>Ja</t>
        </is>
      </c>
      <c r="K115" s="12" t="n">
        <v>2.5</v>
      </c>
      <c r="L115" s="11" t="n"/>
      <c r="M115" s="11" t="inlineStr"/>
      <c r="N115" s="11" t="inlineStr"/>
    </row>
    <row r="116">
      <c r="A116" s="10" t="n">
        <v>46180</v>
      </c>
      <c r="B116" s="11">
        <f>ISOWEEKNUM(A116)</f>
        <v/>
      </c>
      <c r="C116" s="10">
        <f>A116-WEEKDAY(A116,2)+1</f>
        <v/>
      </c>
      <c r="D116" s="11">
        <f>TEXT(A116,"mmm yyyy")</f>
        <v/>
      </c>
      <c r="E116" s="11" t="inlineStr">
        <is>
          <t>Uit</t>
        </is>
      </c>
      <c r="F116" s="11" t="inlineStr">
        <is>
          <t>Latin Food</t>
        </is>
      </c>
      <c r="G116" s="11" t="inlineStr">
        <is>
          <t>Latin Food</t>
        </is>
      </c>
      <c r="H116" s="11" t="inlineStr">
        <is>
          <t>Eten &amp; Restaurant</t>
        </is>
      </c>
      <c r="I116" s="11" t="inlineStr">
        <is>
          <t>Prive</t>
        </is>
      </c>
      <c r="J116" s="11" t="inlineStr">
        <is>
          <t>Ja</t>
        </is>
      </c>
      <c r="K116" s="12" t="n">
        <v>8.5</v>
      </c>
      <c r="L116" s="11" t="n"/>
      <c r="M116" s="11" t="inlineStr"/>
      <c r="N116" s="11" t="inlineStr"/>
    </row>
    <row r="117">
      <c r="A117" s="10" t="n">
        <v>46180</v>
      </c>
      <c r="B117" s="11">
        <f>ISOWEEKNUM(A117)</f>
        <v/>
      </c>
      <c r="C117" s="10">
        <f>A117-WEEKDAY(A117,2)+1</f>
        <v/>
      </c>
      <c r="D117" s="11">
        <f>TEXT(A117,"mmm yyyy")</f>
        <v/>
      </c>
      <c r="E117" s="11" t="inlineStr">
        <is>
          <t>Uit</t>
        </is>
      </c>
      <c r="F117" s="11" t="inlineStr">
        <is>
          <t>Bck cigkoftem 053</t>
        </is>
      </c>
      <c r="G117" s="11" t="inlineStr">
        <is>
          <t>Cigkoftem</t>
        </is>
      </c>
      <c r="H117" s="11" t="inlineStr">
        <is>
          <t>Eten &amp; Restaurant</t>
        </is>
      </c>
      <c r="I117" s="11" t="inlineStr">
        <is>
          <t>Prive</t>
        </is>
      </c>
      <c r="J117" s="11" t="inlineStr">
        <is>
          <t>Ja</t>
        </is>
      </c>
      <c r="K117" s="12" t="n">
        <v>27.9</v>
      </c>
      <c r="L117" s="11" t="n"/>
      <c r="M117" s="11" t="inlineStr"/>
      <c r="N117" s="11" t="inlineStr"/>
    </row>
    <row r="118">
      <c r="A118" s="10" t="n">
        <v>46180</v>
      </c>
      <c r="B118" s="11">
        <f>ISOWEEKNUM(A118)</f>
        <v/>
      </c>
      <c r="C118" s="10">
        <f>A118-WEEKDAY(A118,2)+1</f>
        <v/>
      </c>
      <c r="D118" s="11">
        <f>TEXT(A118,"mmm yyyy")</f>
        <v/>
      </c>
      <c r="E118" s="11" t="inlineStr">
        <is>
          <t>Uit</t>
        </is>
      </c>
      <c r="F118" s="11" t="inlineStr">
        <is>
          <t>Ccv van Heekplein</t>
        </is>
      </c>
      <c r="G118" s="11" t="inlineStr">
        <is>
          <t>Van Heekplein</t>
        </is>
      </c>
      <c r="H118" s="11" t="inlineStr">
        <is>
          <t>Eten &amp; Restaurant</t>
        </is>
      </c>
      <c r="I118" s="11" t="inlineStr">
        <is>
          <t>Prive</t>
        </is>
      </c>
      <c r="J118" s="11" t="inlineStr">
        <is>
          <t>Ja</t>
        </is>
      </c>
      <c r="K118" s="12" t="n">
        <v>6.5</v>
      </c>
      <c r="L118" s="11" t="n"/>
      <c r="M118" s="11" t="inlineStr"/>
      <c r="N118" s="11" t="inlineStr"/>
    </row>
    <row r="119">
      <c r="A119" s="10" t="n">
        <v>46180</v>
      </c>
      <c r="B119" s="11">
        <f>ISOWEEKNUM(A119)</f>
        <v/>
      </c>
      <c r="C119" s="10">
        <f>A119-WEEKDAY(A119,2)+1</f>
        <v/>
      </c>
      <c r="D119" s="11">
        <f>TEXT(A119,"mmm yyyy")</f>
        <v/>
      </c>
      <c r="E119" s="11" t="inlineStr">
        <is>
          <t>Uit</t>
        </is>
      </c>
      <c r="F119" s="11" t="inlineStr">
        <is>
          <t>Kruidvat 6149</t>
        </is>
      </c>
      <c r="G119" s="11" t="inlineStr">
        <is>
          <t>Kruidvat</t>
        </is>
      </c>
      <c r="H119" s="11" t="inlineStr">
        <is>
          <t>Persoonlijk</t>
        </is>
      </c>
      <c r="I119" s="11" t="inlineStr">
        <is>
          <t>Prive</t>
        </is>
      </c>
      <c r="J119" s="11" t="inlineStr">
        <is>
          <t>Ja</t>
        </is>
      </c>
      <c r="K119" s="12" t="n">
        <v>14.83</v>
      </c>
      <c r="L119" s="11" t="n"/>
      <c r="M119" s="11" t="inlineStr"/>
      <c r="N119" s="11" t="inlineStr"/>
    </row>
    <row r="120">
      <c r="A120" s="10" t="n">
        <v>46180</v>
      </c>
      <c r="B120" s="11">
        <f>ISOWEEKNUM(A120)</f>
        <v/>
      </c>
      <c r="C120" s="10">
        <f>A120-WEEKDAY(A120,2)+1</f>
        <v/>
      </c>
      <c r="D120" s="11">
        <f>TEXT(A120,"mmm yyyy")</f>
        <v/>
      </c>
      <c r="E120" s="11" t="inlineStr">
        <is>
          <t>Uit</t>
        </is>
      </c>
      <c r="F120" s="11" t="inlineStr">
        <is>
          <t>Albert Heijn 1008</t>
        </is>
      </c>
      <c r="G120" s="11" t="inlineStr">
        <is>
          <t>Albert Heijn</t>
        </is>
      </c>
      <c r="H120" s="11" t="inlineStr">
        <is>
          <t>Boodschappen</t>
        </is>
      </c>
      <c r="I120" s="11" t="inlineStr">
        <is>
          <t>Prive</t>
        </is>
      </c>
      <c r="J120" s="11" t="inlineStr">
        <is>
          <t>Ja</t>
        </is>
      </c>
      <c r="K120" s="12" t="n">
        <v>11.93</v>
      </c>
      <c r="L120" s="11" t="n"/>
      <c r="M120" s="11" t="inlineStr"/>
      <c r="N120" s="11" t="inlineStr"/>
    </row>
    <row r="121">
      <c r="A121" s="10" t="n">
        <v>46180</v>
      </c>
      <c r="B121" s="11">
        <f>ISOWEEKNUM(A121)</f>
        <v/>
      </c>
      <c r="C121" s="10">
        <f>A121-WEEKDAY(A121,2)+1</f>
        <v/>
      </c>
      <c r="D121" s="11">
        <f>TEXT(A121,"mmm yyyy")</f>
        <v/>
      </c>
      <c r="E121" s="11" t="inlineStr">
        <is>
          <t>Uit</t>
        </is>
      </c>
      <c r="F121" s="11" t="inlineStr">
        <is>
          <t>Albert Heijn 1008</t>
        </is>
      </c>
      <c r="G121" s="11" t="inlineStr">
        <is>
          <t>Albert Heijn</t>
        </is>
      </c>
      <c r="H121" s="11" t="inlineStr">
        <is>
          <t>Boodschappen</t>
        </is>
      </c>
      <c r="I121" s="11" t="inlineStr">
        <is>
          <t>Prive</t>
        </is>
      </c>
      <c r="J121" s="11" t="inlineStr">
        <is>
          <t>Ja</t>
        </is>
      </c>
      <c r="K121" s="12" t="n">
        <v>15</v>
      </c>
      <c r="L121" s="11" t="n"/>
      <c r="M121" s="11" t="inlineStr"/>
      <c r="N121" s="11" t="inlineStr"/>
    </row>
    <row r="122">
      <c r="A122" s="10" t="n">
        <v>46180</v>
      </c>
      <c r="B122" s="11">
        <f>ISOWEEKNUM(A122)</f>
        <v/>
      </c>
      <c r="C122" s="10">
        <f>A122-WEEKDAY(A122,2)+1</f>
        <v/>
      </c>
      <c r="D122" s="11">
        <f>TEXT(A122,"mmm yyyy")</f>
        <v/>
      </c>
      <c r="E122" s="11" t="inlineStr">
        <is>
          <t>Uit</t>
        </is>
      </c>
      <c r="F122" s="11" t="inlineStr">
        <is>
          <t>Bp De Bolder</t>
        </is>
      </c>
      <c r="G122" s="11" t="inlineStr">
        <is>
          <t>Bp De Bolder</t>
        </is>
      </c>
      <c r="H122" s="11" t="inlineStr">
        <is>
          <t>Eten &amp; Restaurant</t>
        </is>
      </c>
      <c r="I122" s="11" t="inlineStr">
        <is>
          <t>Prive</t>
        </is>
      </c>
      <c r="J122" s="11" t="inlineStr">
        <is>
          <t>Ja</t>
        </is>
      </c>
      <c r="K122" s="12" t="n">
        <v>5.99</v>
      </c>
      <c r="L122" s="11" t="n"/>
      <c r="M122" s="11" t="inlineStr"/>
      <c r="N122" s="11" t="inlineStr"/>
    </row>
    <row r="123">
      <c r="A123" s="17" t="n">
        <v>46180</v>
      </c>
      <c r="B123" s="15">
        <f>ISOWEEKNUM(A123)</f>
        <v/>
      </c>
      <c r="C123" s="17">
        <f>A123-WEEKDAY(A123,2)+1</f>
        <v/>
      </c>
      <c r="D123" s="15">
        <f>TEXT(A123,"mmm yyyy")</f>
        <v/>
      </c>
      <c r="E123" s="15" t="inlineStr">
        <is>
          <t>Uit</t>
        </is>
      </c>
      <c r="F123" s="15" t="inlineStr">
        <is>
          <t>Checkify.pro Subs Fees</t>
        </is>
      </c>
      <c r="G123" s="15" t="inlineStr">
        <is>
          <t>Checkify.pro</t>
        </is>
      </c>
      <c r="H123" s="15" t="inlineStr">
        <is>
          <t>Software &amp; Tools</t>
        </is>
      </c>
      <c r="I123" s="15" t="inlineStr">
        <is>
          <t>Zakelijk</t>
        </is>
      </c>
      <c r="J123" s="15" t="inlineStr">
        <is>
          <t>Nee</t>
        </is>
      </c>
      <c r="K123" s="18" t="n">
        <v>25.07</v>
      </c>
      <c r="L123" s="15" t="n"/>
      <c r="M123" s="15" t="inlineStr"/>
      <c r="N123" s="15" t="inlineStr"/>
    </row>
    <row r="124">
      <c r="A124" s="17" t="n">
        <v>46179</v>
      </c>
      <c r="B124" s="15">
        <f>ISOWEEKNUM(A124)</f>
        <v/>
      </c>
      <c r="C124" s="17">
        <f>A124-WEEKDAY(A124,2)+1</f>
        <v/>
      </c>
      <c r="D124" s="15">
        <f>TEXT(A124,"mmm yyyy")</f>
        <v/>
      </c>
      <c r="E124" s="15" t="inlineStr">
        <is>
          <t>Uit</t>
        </is>
      </c>
      <c r="F124" s="15" t="inlineStr">
        <is>
          <t>Oxylabs</t>
        </is>
      </c>
      <c r="G124" s="15" t="inlineStr">
        <is>
          <t>Oxylabs</t>
        </is>
      </c>
      <c r="H124" s="15" t="inlineStr">
        <is>
          <t>Software &amp; Tools</t>
        </is>
      </c>
      <c r="I124" s="15" t="inlineStr">
        <is>
          <t>Zakelijk</t>
        </is>
      </c>
      <c r="J124" s="15" t="inlineStr">
        <is>
          <t>Nee</t>
        </is>
      </c>
      <c r="K124" s="18" t="n">
        <v>63.72</v>
      </c>
      <c r="L124" s="15" t="n"/>
      <c r="M124" s="15" t="inlineStr">
        <is>
          <t>$72.60</t>
        </is>
      </c>
      <c r="N124" s="15" t="inlineStr"/>
    </row>
    <row r="125">
      <c r="A125" s="17" t="n">
        <v>46179</v>
      </c>
      <c r="B125" s="15">
        <f>ISOWEEKNUM(A125)</f>
        <v/>
      </c>
      <c r="C125" s="17">
        <f>A125-WEEKDAY(A125,2)+1</f>
        <v/>
      </c>
      <c r="D125" s="15">
        <f>TEXT(A125,"mmm yyyy")</f>
        <v/>
      </c>
      <c r="E125" s="15" t="inlineStr">
        <is>
          <t>Uit</t>
        </is>
      </c>
      <c r="F125" s="15" t="inlineStr">
        <is>
          <t>Oxylabs</t>
        </is>
      </c>
      <c r="G125" s="15" t="inlineStr">
        <is>
          <t>Oxylabs</t>
        </is>
      </c>
      <c r="H125" s="15" t="inlineStr">
        <is>
          <t>Software &amp; Tools</t>
        </is>
      </c>
      <c r="I125" s="15" t="inlineStr">
        <is>
          <t>Zakelijk</t>
        </is>
      </c>
      <c r="J125" s="15" t="inlineStr">
        <is>
          <t>Nee</t>
        </is>
      </c>
      <c r="K125" s="18" t="n">
        <v>63.72</v>
      </c>
      <c r="L125" s="15" t="n"/>
      <c r="M125" s="15" t="inlineStr">
        <is>
          <t>$72.60</t>
        </is>
      </c>
      <c r="N125" s="15" t="inlineStr"/>
    </row>
    <row r="126">
      <c r="A126" s="10" t="n">
        <v>46179</v>
      </c>
      <c r="B126" s="11">
        <f>ISOWEEKNUM(A126)</f>
        <v/>
      </c>
      <c r="C126" s="10">
        <f>A126-WEEKDAY(A126,2)+1</f>
        <v/>
      </c>
      <c r="D126" s="11">
        <f>TEXT(A126,"mmm yyyy")</f>
        <v/>
      </c>
      <c r="E126" s="11" t="inlineStr">
        <is>
          <t>Uit</t>
        </is>
      </c>
      <c r="F126" s="11" t="inlineStr">
        <is>
          <t>Easyparknlcom</t>
        </is>
      </c>
      <c r="G126" s="11" t="inlineStr">
        <is>
          <t>Easypark</t>
        </is>
      </c>
      <c r="H126" s="11" t="inlineStr">
        <is>
          <t>Parkeren</t>
        </is>
      </c>
      <c r="I126" s="11" t="inlineStr">
        <is>
          <t>Prive</t>
        </is>
      </c>
      <c r="J126" s="11" t="inlineStr">
        <is>
          <t>Ja</t>
        </is>
      </c>
      <c r="K126" s="12" t="n">
        <v>11.47</v>
      </c>
      <c r="L126" s="11" t="n"/>
      <c r="M126" s="11" t="inlineStr"/>
      <c r="N126" s="11" t="inlineStr"/>
    </row>
    <row r="127">
      <c r="A127" s="17" t="n">
        <v>46179</v>
      </c>
      <c r="B127" s="15">
        <f>ISOWEEKNUM(A127)</f>
        <v/>
      </c>
      <c r="C127" s="17">
        <f>A127-WEEKDAY(A127,2)+1</f>
        <v/>
      </c>
      <c r="D127" s="15">
        <f>TEXT(A127,"mmm yyyy")</f>
        <v/>
      </c>
      <c r="E127" s="15" t="inlineStr">
        <is>
          <t>Uit</t>
        </is>
      </c>
      <c r="F127" s="15" t="inlineStr">
        <is>
          <t>Checkify.pro Subs Fees</t>
        </is>
      </c>
      <c r="G127" s="15" t="inlineStr">
        <is>
          <t>Checkify.pro</t>
        </is>
      </c>
      <c r="H127" s="15" t="inlineStr">
        <is>
          <t>Software &amp; Tools</t>
        </is>
      </c>
      <c r="I127" s="15" t="inlineStr">
        <is>
          <t>Zakelijk</t>
        </is>
      </c>
      <c r="J127" s="15" t="inlineStr">
        <is>
          <t>Nee</t>
        </is>
      </c>
      <c r="K127" s="18" t="n">
        <v>25.07</v>
      </c>
      <c r="L127" s="15" t="n"/>
      <c r="M127" s="15" t="inlineStr"/>
      <c r="N127" s="15" t="inlineStr"/>
    </row>
    <row r="128">
      <c r="A128" s="10" t="n">
        <v>46179</v>
      </c>
      <c r="B128" s="11">
        <f>ISOWEEKNUM(A128)</f>
        <v/>
      </c>
      <c r="C128" s="10">
        <f>A128-WEEKDAY(A128,2)+1</f>
        <v/>
      </c>
      <c r="D128" s="11">
        <f>TEXT(A128,"mmm yyyy")</f>
        <v/>
      </c>
      <c r="E128" s="11" t="inlineStr">
        <is>
          <t>Uit</t>
        </is>
      </c>
      <c r="F128" s="11" t="inlineStr">
        <is>
          <t>Easyparknlcom</t>
        </is>
      </c>
      <c r="G128" s="11" t="inlineStr">
        <is>
          <t>Easypark</t>
        </is>
      </c>
      <c r="H128" s="11" t="inlineStr">
        <is>
          <t>Parkeren</t>
        </is>
      </c>
      <c r="I128" s="11" t="inlineStr">
        <is>
          <t>Prive</t>
        </is>
      </c>
      <c r="J128" s="11" t="inlineStr">
        <is>
          <t>Ja</t>
        </is>
      </c>
      <c r="K128" s="12" t="n">
        <v>1.66</v>
      </c>
      <c r="L128" s="11" t="n"/>
      <c r="M128" s="11" t="inlineStr"/>
      <c r="N128" s="11" t="inlineStr"/>
    </row>
    <row r="129">
      <c r="A129" s="10" t="n">
        <v>46179</v>
      </c>
      <c r="B129" s="11">
        <f>ISOWEEKNUM(A129)</f>
        <v/>
      </c>
      <c r="C129" s="10">
        <f>A129-WEEKDAY(A129,2)+1</f>
        <v/>
      </c>
      <c r="D129" s="11">
        <f>TEXT(A129,"mmm yyyy")</f>
        <v/>
      </c>
      <c r="E129" s="11" t="inlineStr">
        <is>
          <t>Uit</t>
        </is>
      </c>
      <c r="F129" s="11" t="inlineStr">
        <is>
          <t>Arret</t>
        </is>
      </c>
      <c r="G129" s="11" t="inlineStr">
        <is>
          <t>Arret</t>
        </is>
      </c>
      <c r="H129" s="11" t="inlineStr">
        <is>
          <t>Parkeren</t>
        </is>
      </c>
      <c r="I129" s="11" t="inlineStr">
        <is>
          <t>Prive</t>
        </is>
      </c>
      <c r="J129" s="11" t="inlineStr">
        <is>
          <t>Ja</t>
        </is>
      </c>
      <c r="K129" s="12" t="n">
        <v>37.5</v>
      </c>
      <c r="L129" s="11" t="n"/>
      <c r="M129" s="11" t="inlineStr"/>
      <c r="N129" s="11" t="inlineStr">
        <is>
          <t>Parkeren</t>
        </is>
      </c>
    </row>
    <row r="130">
      <c r="A130" s="17" t="n">
        <v>46178</v>
      </c>
      <c r="B130" s="15">
        <f>ISOWEEKNUM(A130)</f>
        <v/>
      </c>
      <c r="C130" s="17">
        <f>A130-WEEKDAY(A130,2)+1</f>
        <v/>
      </c>
      <c r="D130" s="15">
        <f>TEXT(A130,"mmm yyyy")</f>
        <v/>
      </c>
      <c r="E130" s="15" t="inlineStr">
        <is>
          <t>Uit</t>
        </is>
      </c>
      <c r="F130" s="15" t="inlineStr">
        <is>
          <t>To HK Jinchenyun CD000749</t>
        </is>
      </c>
      <c r="G130" s="15" t="inlineStr">
        <is>
          <t>HK Jinchenyun</t>
        </is>
      </c>
      <c r="H130" s="15" t="inlineStr">
        <is>
          <t>Voorraad/Leverancier</t>
        </is>
      </c>
      <c r="I130" s="15" t="inlineStr">
        <is>
          <t>Zakelijk</t>
        </is>
      </c>
      <c r="J130" s="15" t="inlineStr">
        <is>
          <t>Nee</t>
        </is>
      </c>
      <c r="K130" s="18" t="n">
        <v>7000.2</v>
      </c>
      <c r="L130" s="15" t="n"/>
      <c r="M130" s="15" t="inlineStr"/>
      <c r="N130" s="15" t="inlineStr">
        <is>
          <t>incl. fee</t>
        </is>
      </c>
    </row>
    <row r="131">
      <c r="A131" s="17" t="n">
        <v>46178</v>
      </c>
      <c r="B131" s="15">
        <f>ISOWEEKNUM(A131)</f>
        <v/>
      </c>
      <c r="C131" s="17">
        <f>A131-WEEKDAY(A131,2)+1</f>
        <v/>
      </c>
      <c r="D131" s="15">
        <f>TEXT(A131,"mmm yyyy")</f>
        <v/>
      </c>
      <c r="E131" s="15" t="inlineStr">
        <is>
          <t>Uit</t>
        </is>
      </c>
      <c r="F131" s="15" t="inlineStr">
        <is>
          <t>To CC Ecommerce 0722</t>
        </is>
      </c>
      <c r="G131" s="15" t="inlineStr">
        <is>
          <t>CC Ecommerce Solutions</t>
        </is>
      </c>
      <c r="H131" s="15" t="inlineStr">
        <is>
          <t>Voorraad/Leverancier</t>
        </is>
      </c>
      <c r="I131" s="15" t="inlineStr">
        <is>
          <t>Zakelijk</t>
        </is>
      </c>
      <c r="J131" s="15" t="inlineStr">
        <is>
          <t>Nee</t>
        </is>
      </c>
      <c r="K131" s="18" t="n">
        <v>5000.2</v>
      </c>
      <c r="L131" s="15" t="n"/>
      <c r="M131" s="15" t="inlineStr"/>
      <c r="N131" s="15" t="inlineStr">
        <is>
          <t>incl. fee</t>
        </is>
      </c>
    </row>
    <row r="132">
      <c r="A132" s="10" t="n">
        <v>46178</v>
      </c>
      <c r="B132" s="11">
        <f>ISOWEEKNUM(A132)</f>
        <v/>
      </c>
      <c r="C132" s="10">
        <f>A132-WEEKDAY(A132,2)+1</f>
        <v/>
      </c>
      <c r="D132" s="11">
        <f>TEXT(A132,"mmm yyyy")</f>
        <v/>
      </c>
      <c r="E132" s="11" t="inlineStr">
        <is>
          <t>Uit</t>
        </is>
      </c>
      <c r="F132" s="11" t="inlineStr">
        <is>
          <t>To Talat Uyar Prive</t>
        </is>
      </c>
      <c r="G132" s="11" t="inlineStr">
        <is>
          <t>Talat (prive)</t>
        </is>
      </c>
      <c r="H132" s="11" t="inlineStr">
        <is>
          <t>Prive-opname</t>
        </is>
      </c>
      <c r="I132" s="11" t="inlineStr">
        <is>
          <t>Prive</t>
        </is>
      </c>
      <c r="J132" s="11" t="inlineStr">
        <is>
          <t>Ja</t>
        </is>
      </c>
      <c r="K132" s="12" t="n">
        <v>100</v>
      </c>
      <c r="L132" s="11" t="n"/>
      <c r="M132" s="11" t="inlineStr"/>
      <c r="N132" s="11" t="inlineStr"/>
    </row>
    <row r="133">
      <c r="A133" s="17" t="n">
        <v>46178</v>
      </c>
      <c r="B133" s="15">
        <f>ISOWEEKNUM(A133)</f>
        <v/>
      </c>
      <c r="C133" s="17">
        <f>A133-WEEKDAY(A133,2)+1</f>
        <v/>
      </c>
      <c r="D133" s="15">
        <f>TEXT(A133,"mmm yyyy")</f>
        <v/>
      </c>
      <c r="E133" s="15" t="inlineStr">
        <is>
          <t>Uit</t>
        </is>
      </c>
      <c r="F133" s="15" t="inlineStr">
        <is>
          <t>Checkify.pro Subs Fees</t>
        </is>
      </c>
      <c r="G133" s="15" t="inlineStr">
        <is>
          <t>Checkify.pro</t>
        </is>
      </c>
      <c r="H133" s="15" t="inlineStr">
        <is>
          <t>Software &amp; Tools</t>
        </is>
      </c>
      <c r="I133" s="15" t="inlineStr">
        <is>
          <t>Zakelijk</t>
        </is>
      </c>
      <c r="J133" s="15" t="inlineStr">
        <is>
          <t>Nee</t>
        </is>
      </c>
      <c r="K133" s="18" t="n">
        <v>25.2</v>
      </c>
      <c r="L133" s="15" t="n"/>
      <c r="M133" s="15" t="inlineStr"/>
      <c r="N133" s="15" t="inlineStr"/>
    </row>
    <row r="134">
      <c r="A134" s="13" t="n">
        <v>46178</v>
      </c>
      <c r="B134" s="14">
        <f>ISOWEEKNUM(A134)</f>
        <v/>
      </c>
      <c r="C134" s="13">
        <f>A134-WEEKDAY(A134,2)+1</f>
        <v/>
      </c>
      <c r="D134" s="14">
        <f>TEXT(A134,"mmm yyyy")</f>
        <v/>
      </c>
      <c r="E134" s="14" t="inlineStr">
        <is>
          <t>In</t>
        </is>
      </c>
      <c r="F134" s="14" t="inlineStr">
        <is>
          <t>Money added Stripe E7O6C4</t>
        </is>
      </c>
      <c r="G134" s="14" t="inlineStr">
        <is>
          <t>Stripe</t>
        </is>
      </c>
      <c r="H134" s="14" t="inlineStr">
        <is>
          <t>Omzet</t>
        </is>
      </c>
      <c r="I134" s="14" t="inlineStr">
        <is>
          <t>Zakelijk</t>
        </is>
      </c>
      <c r="J134" s="14" t="inlineStr">
        <is>
          <t>Nee</t>
        </is>
      </c>
      <c r="K134" s="15" t="n"/>
      <c r="L134" s="16" t="n">
        <v>4179.46</v>
      </c>
      <c r="M134" s="15" t="inlineStr"/>
      <c r="N134" s="14" t="inlineStr"/>
    </row>
    <row r="135">
      <c r="A135" s="10" t="n">
        <v>46178</v>
      </c>
      <c r="B135" s="11">
        <f>ISOWEEKNUM(A135)</f>
        <v/>
      </c>
      <c r="C135" s="10">
        <f>A135-WEEKDAY(A135,2)+1</f>
        <v/>
      </c>
      <c r="D135" s="11">
        <f>TEXT(A135,"mmm yyyy")</f>
        <v/>
      </c>
      <c r="E135" s="11" t="inlineStr">
        <is>
          <t>Uit</t>
        </is>
      </c>
      <c r="F135" s="11" t="inlineStr">
        <is>
          <t>To ToesFood via MultiSafepay</t>
        </is>
      </c>
      <c r="G135" s="11" t="inlineStr">
        <is>
          <t>ToesFood</t>
        </is>
      </c>
      <c r="H135" s="11" t="inlineStr">
        <is>
          <t>Eten &amp; Restaurant</t>
        </is>
      </c>
      <c r="I135" s="11" t="inlineStr">
        <is>
          <t>Prive</t>
        </is>
      </c>
      <c r="J135" s="11" t="inlineStr">
        <is>
          <t>Ja</t>
        </is>
      </c>
      <c r="K135" s="12" t="n">
        <v>31.23</v>
      </c>
      <c r="L135" s="11" t="n"/>
      <c r="M135" s="11" t="inlineStr"/>
      <c r="N135" s="11" t="inlineStr">
        <is>
          <t>incl. fee</t>
        </is>
      </c>
    </row>
    <row r="136">
      <c r="A136" s="10" t="n">
        <v>46177</v>
      </c>
      <c r="B136" s="11">
        <f>ISOWEEKNUM(A136)</f>
        <v/>
      </c>
      <c r="C136" s="10">
        <f>A136-WEEKDAY(A136,2)+1</f>
        <v/>
      </c>
      <c r="D136" s="11">
        <f>TEXT(A136,"mmm yyyy")</f>
        <v/>
      </c>
      <c r="E136" s="11" t="inlineStr">
        <is>
          <t>Uit</t>
        </is>
      </c>
      <c r="F136" s="11" t="inlineStr">
        <is>
          <t>To Talat Uyar Prive</t>
        </is>
      </c>
      <c r="G136" s="11" t="inlineStr">
        <is>
          <t>Talat (prive)</t>
        </is>
      </c>
      <c r="H136" s="11" t="inlineStr">
        <is>
          <t>Prive-opname</t>
        </is>
      </c>
      <c r="I136" s="11" t="inlineStr">
        <is>
          <t>Prive</t>
        </is>
      </c>
      <c r="J136" s="11" t="inlineStr">
        <is>
          <t>Ja</t>
        </is>
      </c>
      <c r="K136" s="12" t="n">
        <v>50</v>
      </c>
      <c r="L136" s="11" t="n"/>
      <c r="M136" s="11" t="inlineStr"/>
      <c r="N136" s="11" t="inlineStr"/>
    </row>
    <row r="137">
      <c r="A137" s="10" t="n">
        <v>46177</v>
      </c>
      <c r="B137" s="11">
        <f>ISOWEEKNUM(A137)</f>
        <v/>
      </c>
      <c r="C137" s="10">
        <f>A137-WEEKDAY(A137,2)+1</f>
        <v/>
      </c>
      <c r="D137" s="11">
        <f>TEXT(A137,"mmm yyyy")</f>
        <v/>
      </c>
      <c r="E137" s="11" t="inlineStr">
        <is>
          <t>Uit</t>
        </is>
      </c>
      <c r="F137" s="11" t="inlineStr">
        <is>
          <t>To Talat Uyar Prive</t>
        </is>
      </c>
      <c r="G137" s="11" t="inlineStr">
        <is>
          <t>Talat (prive)</t>
        </is>
      </c>
      <c r="H137" s="11" t="inlineStr">
        <is>
          <t>Prive-opname</t>
        </is>
      </c>
      <c r="I137" s="11" t="inlineStr">
        <is>
          <t>Prive</t>
        </is>
      </c>
      <c r="J137" s="11" t="inlineStr">
        <is>
          <t>Ja</t>
        </is>
      </c>
      <c r="K137" s="12" t="n">
        <v>200</v>
      </c>
      <c r="L137" s="11" t="n"/>
      <c r="M137" s="11" t="inlineStr"/>
      <c r="N137" s="11" t="inlineStr"/>
    </row>
    <row r="138">
      <c r="A138" s="13" t="n">
        <v>46177</v>
      </c>
      <c r="B138" s="14">
        <f>ISOWEEKNUM(A138)</f>
        <v/>
      </c>
      <c r="C138" s="13">
        <f>A138-WEEKDAY(A138,2)+1</f>
        <v/>
      </c>
      <c r="D138" s="14">
        <f>TEXT(A138,"mmm yyyy")</f>
        <v/>
      </c>
      <c r="E138" s="14" t="inlineStr">
        <is>
          <t>In</t>
        </is>
      </c>
      <c r="F138" s="14" t="inlineStr">
        <is>
          <t>Money added Stichting Mollie Payments</t>
        </is>
      </c>
      <c r="G138" s="14" t="inlineStr">
        <is>
          <t>Mollie</t>
        </is>
      </c>
      <c r="H138" s="14" t="inlineStr">
        <is>
          <t>Omzet</t>
        </is>
      </c>
      <c r="I138" s="14" t="inlineStr">
        <is>
          <t>Zakelijk</t>
        </is>
      </c>
      <c r="J138" s="14" t="inlineStr">
        <is>
          <t>Nee</t>
        </is>
      </c>
      <c r="K138" s="15" t="n"/>
      <c r="L138" s="16" t="n">
        <v>21.9</v>
      </c>
      <c r="M138" s="15" t="inlineStr"/>
      <c r="N138" s="14" t="inlineStr"/>
    </row>
    <row r="139">
      <c r="A139" s="17" t="n">
        <v>46177</v>
      </c>
      <c r="B139" s="15">
        <f>ISOWEEKNUM(A139)</f>
        <v/>
      </c>
      <c r="C139" s="17">
        <f>A139-WEEKDAY(A139,2)+1</f>
        <v/>
      </c>
      <c r="D139" s="15">
        <f>TEXT(A139,"mmm yyyy")</f>
        <v/>
      </c>
      <c r="E139" s="15" t="inlineStr">
        <is>
          <t>Uit</t>
        </is>
      </c>
      <c r="F139" s="15" t="inlineStr">
        <is>
          <t>To CC Ecommerce 0722</t>
        </is>
      </c>
      <c r="G139" s="15" t="inlineStr">
        <is>
          <t>CC Ecommerce Solutions</t>
        </is>
      </c>
      <c r="H139" s="15" t="inlineStr">
        <is>
          <t>Voorraad/Leverancier</t>
        </is>
      </c>
      <c r="I139" s="15" t="inlineStr">
        <is>
          <t>Zakelijk</t>
        </is>
      </c>
      <c r="J139" s="15" t="inlineStr">
        <is>
          <t>Nee</t>
        </is>
      </c>
      <c r="K139" s="18" t="n">
        <v>4000.2</v>
      </c>
      <c r="L139" s="15" t="n"/>
      <c r="M139" s="15" t="inlineStr"/>
      <c r="N139" s="15" t="inlineStr">
        <is>
          <t>incl. fee</t>
        </is>
      </c>
    </row>
    <row r="140">
      <c r="A140" s="17" t="n">
        <v>46177</v>
      </c>
      <c r="B140" s="15">
        <f>ISOWEEKNUM(A140)</f>
        <v/>
      </c>
      <c r="C140" s="17">
        <f>A140-WEEKDAY(A140,2)+1</f>
        <v/>
      </c>
      <c r="D140" s="15">
        <f>TEXT(A140,"mmm yyyy")</f>
        <v/>
      </c>
      <c r="E140" s="15" t="inlineStr">
        <is>
          <t>Uit</t>
        </is>
      </c>
      <c r="F140" s="15" t="inlineStr">
        <is>
          <t>Checkify.pro Subs Fees</t>
        </is>
      </c>
      <c r="G140" s="15" t="inlineStr">
        <is>
          <t>Checkify.pro</t>
        </is>
      </c>
      <c r="H140" s="15" t="inlineStr">
        <is>
          <t>Software &amp; Tools</t>
        </is>
      </c>
      <c r="I140" s="15" t="inlineStr">
        <is>
          <t>Zakelijk</t>
        </is>
      </c>
      <c r="J140" s="15" t="inlineStr">
        <is>
          <t>Nee</t>
        </is>
      </c>
      <c r="K140" s="18" t="n">
        <v>25.07</v>
      </c>
      <c r="L140" s="15" t="n"/>
      <c r="M140" s="15" t="inlineStr"/>
      <c r="N140" s="15" t="inlineStr"/>
    </row>
    <row r="141">
      <c r="A141" s="10" t="n">
        <v>46177</v>
      </c>
      <c r="B141" s="11">
        <f>ISOWEEKNUM(A141)</f>
        <v/>
      </c>
      <c r="C141" s="10">
        <f>A141-WEEKDAY(A141,2)+1</f>
        <v/>
      </c>
      <c r="D141" s="11">
        <f>TEXT(A141,"mmm yyyy")</f>
        <v/>
      </c>
      <c r="E141" s="11" t="inlineStr">
        <is>
          <t>Uit</t>
        </is>
      </c>
      <c r="F141" s="11" t="inlineStr">
        <is>
          <t>Jumbo Stephensonlaan</t>
        </is>
      </c>
      <c r="G141" s="11" t="inlineStr">
        <is>
          <t>Jumbo</t>
        </is>
      </c>
      <c r="H141" s="11" t="inlineStr">
        <is>
          <t>Boodschappen</t>
        </is>
      </c>
      <c r="I141" s="11" t="inlineStr">
        <is>
          <t>Prive</t>
        </is>
      </c>
      <c r="J141" s="11" t="inlineStr">
        <is>
          <t>Ja</t>
        </is>
      </c>
      <c r="K141" s="12" t="n">
        <v>9.869999999999999</v>
      </c>
      <c r="L141" s="11" t="n"/>
      <c r="M141" s="11" t="inlineStr"/>
      <c r="N141" s="11" t="inlineStr"/>
    </row>
    <row r="142">
      <c r="A142" s="13" t="n">
        <v>46177</v>
      </c>
      <c r="B142" s="14">
        <f>ISOWEEKNUM(A142)</f>
        <v/>
      </c>
      <c r="C142" s="13">
        <f>A142-WEEKDAY(A142,2)+1</f>
        <v/>
      </c>
      <c r="D142" s="14">
        <f>TEXT(A142,"mmm yyyy")</f>
        <v/>
      </c>
      <c r="E142" s="14" t="inlineStr">
        <is>
          <t>In</t>
        </is>
      </c>
      <c r="F142" s="14" t="inlineStr">
        <is>
          <t>Money added Stripe Q6V8W4</t>
        </is>
      </c>
      <c r="G142" s="14" t="inlineStr">
        <is>
          <t>Stripe</t>
        </is>
      </c>
      <c r="H142" s="14" t="inlineStr">
        <is>
          <t>Omzet</t>
        </is>
      </c>
      <c r="I142" s="14" t="inlineStr">
        <is>
          <t>Zakelijk</t>
        </is>
      </c>
      <c r="J142" s="14" t="inlineStr">
        <is>
          <t>Nee</t>
        </is>
      </c>
      <c r="K142" s="15" t="n"/>
      <c r="L142" s="16" t="n">
        <v>12170.41</v>
      </c>
      <c r="M142" s="15" t="inlineStr"/>
      <c r="N142" s="14" t="inlineStr"/>
    </row>
    <row r="143">
      <c r="A143" s="17" t="n">
        <v>46176</v>
      </c>
      <c r="B143" s="15">
        <f>ISOWEEKNUM(A143)</f>
        <v/>
      </c>
      <c r="C143" s="17">
        <f>A143-WEEKDAY(A143,2)+1</f>
        <v/>
      </c>
      <c r="D143" s="15">
        <f>TEXT(A143,"mmm yyyy")</f>
        <v/>
      </c>
      <c r="E143" s="15" t="inlineStr">
        <is>
          <t>Uit</t>
        </is>
      </c>
      <c r="F143" s="15" t="inlineStr">
        <is>
          <t>Toolsuite</t>
        </is>
      </c>
      <c r="G143" s="15" t="inlineStr">
        <is>
          <t>Toolsuite</t>
        </is>
      </c>
      <c r="H143" s="15" t="inlineStr">
        <is>
          <t>Software &amp; Tools</t>
        </is>
      </c>
      <c r="I143" s="15" t="inlineStr">
        <is>
          <t>Zakelijk</t>
        </is>
      </c>
      <c r="J143" s="15" t="inlineStr">
        <is>
          <t>Nee</t>
        </is>
      </c>
      <c r="K143" s="18" t="n">
        <v>25.76</v>
      </c>
      <c r="L143" s="15" t="n"/>
      <c r="M143" s="15" t="inlineStr">
        <is>
          <t>$29.95</t>
        </is>
      </c>
      <c r="N143" s="15" t="inlineStr"/>
    </row>
    <row r="144">
      <c r="A144" s="17" t="n">
        <v>46176</v>
      </c>
      <c r="B144" s="15">
        <f>ISOWEEKNUM(A144)</f>
        <v/>
      </c>
      <c r="C144" s="17">
        <f>A144-WEEKDAY(A144,2)+1</f>
        <v/>
      </c>
      <c r="D144" s="15">
        <f>TEXT(A144,"mmm yyyy")</f>
        <v/>
      </c>
      <c r="E144" s="15" t="inlineStr">
        <is>
          <t>Uit</t>
        </is>
      </c>
      <c r="F144" s="15" t="inlineStr">
        <is>
          <t>Checkify.pro Subs Fees</t>
        </is>
      </c>
      <c r="G144" s="15" t="inlineStr">
        <is>
          <t>Checkify.pro</t>
        </is>
      </c>
      <c r="H144" s="15" t="inlineStr">
        <is>
          <t>Software &amp; Tools</t>
        </is>
      </c>
      <c r="I144" s="15" t="inlineStr">
        <is>
          <t>Zakelijk</t>
        </is>
      </c>
      <c r="J144" s="15" t="inlineStr">
        <is>
          <t>Nee</t>
        </is>
      </c>
      <c r="K144" s="18" t="n">
        <v>25.14</v>
      </c>
      <c r="L144" s="15" t="n"/>
      <c r="M144" s="15" t="inlineStr"/>
      <c r="N144" s="15" t="inlineStr"/>
    </row>
    <row r="145">
      <c r="A145" s="17" t="n">
        <v>46176</v>
      </c>
      <c r="B145" s="15">
        <f>ISOWEEKNUM(A145)</f>
        <v/>
      </c>
      <c r="C145" s="17">
        <f>A145-WEEKDAY(A145,2)+1</f>
        <v/>
      </c>
      <c r="D145" s="15">
        <f>TEXT(A145,"mmm yyyy")</f>
        <v/>
      </c>
      <c r="E145" s="15" t="inlineStr">
        <is>
          <t>Uit</t>
        </is>
      </c>
      <c r="F145" s="15" t="inlineStr">
        <is>
          <t>To CC Ecommerce 0722</t>
        </is>
      </c>
      <c r="G145" s="15" t="inlineStr">
        <is>
          <t>CC Ecommerce Solutions</t>
        </is>
      </c>
      <c r="H145" s="15" t="inlineStr">
        <is>
          <t>Voorraad/Leverancier</t>
        </is>
      </c>
      <c r="I145" s="15" t="inlineStr">
        <is>
          <t>Zakelijk</t>
        </is>
      </c>
      <c r="J145" s="15" t="inlineStr">
        <is>
          <t>Nee</t>
        </is>
      </c>
      <c r="K145" s="18" t="n">
        <v>4000.2</v>
      </c>
      <c r="L145" s="15" t="n"/>
      <c r="M145" s="15" t="inlineStr"/>
      <c r="N145" s="15" t="inlineStr">
        <is>
          <t>incl. fee</t>
        </is>
      </c>
    </row>
    <row r="146">
      <c r="A146" s="13" t="n">
        <v>46176</v>
      </c>
      <c r="B146" s="14">
        <f>ISOWEEKNUM(A146)</f>
        <v/>
      </c>
      <c r="C146" s="13">
        <f>A146-WEEKDAY(A146,2)+1</f>
        <v/>
      </c>
      <c r="D146" s="14">
        <f>TEXT(A146,"mmm yyyy")</f>
        <v/>
      </c>
      <c r="E146" s="14" t="inlineStr">
        <is>
          <t>In</t>
        </is>
      </c>
      <c r="F146" s="14" t="inlineStr">
        <is>
          <t>Money added Stripe J2M3J7</t>
        </is>
      </c>
      <c r="G146" s="14" t="inlineStr">
        <is>
          <t>Stripe</t>
        </is>
      </c>
      <c r="H146" s="14" t="inlineStr">
        <is>
          <t>Omzet</t>
        </is>
      </c>
      <c r="I146" s="14" t="inlineStr">
        <is>
          <t>Zakelijk</t>
        </is>
      </c>
      <c r="J146" s="14" t="inlineStr">
        <is>
          <t>Nee</t>
        </is>
      </c>
      <c r="K146" s="15" t="n"/>
      <c r="L146" s="16" t="n">
        <v>4258.69</v>
      </c>
      <c r="M146" s="15" t="inlineStr"/>
      <c r="N146" s="14" t="inlineStr"/>
    </row>
    <row r="147">
      <c r="A147" s="17" t="n">
        <v>46175</v>
      </c>
      <c r="B147" s="15">
        <f>ISOWEEKNUM(A147)</f>
        <v/>
      </c>
      <c r="C147" s="17">
        <f>A147-WEEKDAY(A147,2)+1</f>
        <v/>
      </c>
      <c r="D147" s="15">
        <f>TEXT(A147,"mmm yyyy")</f>
        <v/>
      </c>
      <c r="E147" s="15" t="inlineStr">
        <is>
          <t>Uit</t>
        </is>
      </c>
      <c r="F147" s="15" t="inlineStr">
        <is>
          <t>Tello Us</t>
        </is>
      </c>
      <c r="G147" s="15" t="inlineStr">
        <is>
          <t>Tello</t>
        </is>
      </c>
      <c r="H147" s="15" t="inlineStr">
        <is>
          <t>Telefoon/Communicatie</t>
        </is>
      </c>
      <c r="I147" s="15" t="inlineStr">
        <is>
          <t>Zakelijk</t>
        </is>
      </c>
      <c r="J147" s="15" t="inlineStr">
        <is>
          <t>Nee</t>
        </is>
      </c>
      <c r="K147" s="18" t="n">
        <v>5.46</v>
      </c>
      <c r="L147" s="15" t="n"/>
      <c r="M147" s="15" t="inlineStr">
        <is>
          <t>$6.35</t>
        </is>
      </c>
      <c r="N147" s="15" t="inlineStr">
        <is>
          <t>Telefoon/SIM</t>
        </is>
      </c>
    </row>
    <row r="148">
      <c r="A148" s="17" t="n">
        <v>46175</v>
      </c>
      <c r="B148" s="15">
        <f>ISOWEEKNUM(A148)</f>
        <v/>
      </c>
      <c r="C148" s="17">
        <f>A148-WEEKDAY(A148,2)+1</f>
        <v/>
      </c>
      <c r="D148" s="15">
        <f>TEXT(A148,"mmm yyyy")</f>
        <v/>
      </c>
      <c r="E148" s="15" t="inlineStr">
        <is>
          <t>Uit</t>
        </is>
      </c>
      <c r="F148" s="15" t="inlineStr">
        <is>
          <t>Stichting Pair Finance</t>
        </is>
      </c>
      <c r="G148" s="15" t="inlineStr">
        <is>
          <t>Pair Finance</t>
        </is>
      </c>
      <c r="H148" s="15" t="inlineStr">
        <is>
          <t>Overig</t>
        </is>
      </c>
      <c r="I148" s="15" t="inlineStr">
        <is>
          <t>Zakelijk</t>
        </is>
      </c>
      <c r="J148" s="15" t="inlineStr">
        <is>
          <t>Nee</t>
        </is>
      </c>
      <c r="K148" s="18" t="n">
        <v>257</v>
      </c>
      <c r="L148" s="15" t="n"/>
      <c r="M148" s="15" t="inlineStr"/>
      <c r="N148" s="15" t="inlineStr">
        <is>
          <t>Incassobureau - verifieer</t>
        </is>
      </c>
    </row>
    <row r="149">
      <c r="A149" s="17" t="n">
        <v>46175</v>
      </c>
      <c r="B149" s="15">
        <f>ISOWEEKNUM(A149)</f>
        <v/>
      </c>
      <c r="C149" s="17">
        <f>A149-WEEKDAY(A149,2)+1</f>
        <v/>
      </c>
      <c r="D149" s="15">
        <f>TEXT(A149,"mmm yyyy")</f>
        <v/>
      </c>
      <c r="E149" s="15" t="inlineStr">
        <is>
          <t>Uit</t>
        </is>
      </c>
      <c r="F149" s="15" t="inlineStr">
        <is>
          <t>Checkify.pro Subs Fees</t>
        </is>
      </c>
      <c r="G149" s="15" t="inlineStr">
        <is>
          <t>Checkify.pro</t>
        </is>
      </c>
      <c r="H149" s="15" t="inlineStr">
        <is>
          <t>Software &amp; Tools</t>
        </is>
      </c>
      <c r="I149" s="15" t="inlineStr">
        <is>
          <t>Zakelijk</t>
        </is>
      </c>
      <c r="J149" s="15" t="inlineStr">
        <is>
          <t>Nee</t>
        </is>
      </c>
      <c r="K149" s="18" t="n">
        <v>25.27</v>
      </c>
      <c r="L149" s="15" t="n"/>
      <c r="M149" s="15" t="inlineStr"/>
      <c r="N149" s="15" t="inlineStr"/>
    </row>
    <row r="150">
      <c r="A150" s="17" t="n">
        <v>46175</v>
      </c>
      <c r="B150" s="15">
        <f>ISOWEEKNUM(A150)</f>
        <v/>
      </c>
      <c r="C150" s="17">
        <f>A150-WEEKDAY(A150,2)+1</f>
        <v/>
      </c>
      <c r="D150" s="15">
        <f>TEXT(A150,"mmm yyyy")</f>
        <v/>
      </c>
      <c r="E150" s="15" t="inlineStr">
        <is>
          <t>Uit</t>
        </is>
      </c>
      <c r="F150" s="15" t="inlineStr">
        <is>
          <t>Google Workspace passendo</t>
        </is>
      </c>
      <c r="G150" s="15" t="inlineStr">
        <is>
          <t>Google</t>
        </is>
      </c>
      <c r="H150" s="15" t="inlineStr">
        <is>
          <t>Software &amp; Tools</t>
        </is>
      </c>
      <c r="I150" s="15" t="inlineStr">
        <is>
          <t>Zakelijk</t>
        </is>
      </c>
      <c r="J150" s="15" t="inlineStr">
        <is>
          <t>Nee</t>
        </is>
      </c>
      <c r="K150" s="18" t="n">
        <v>17.15</v>
      </c>
      <c r="L150" s="15" t="n"/>
      <c r="M150" s="15" t="inlineStr"/>
      <c r="N150" s="15" t="inlineStr"/>
    </row>
    <row r="151">
      <c r="A151" s="17" t="n">
        <v>46175</v>
      </c>
      <c r="B151" s="15">
        <f>ISOWEEKNUM(A151)</f>
        <v/>
      </c>
      <c r="C151" s="17">
        <f>A151-WEEKDAY(A151,2)+1</f>
        <v/>
      </c>
      <c r="D151" s="15">
        <f>TEXT(A151,"mmm yyyy")</f>
        <v/>
      </c>
      <c r="E151" s="15" t="inlineStr">
        <is>
          <t>Uit</t>
        </is>
      </c>
      <c r="F151" s="15" t="inlineStr">
        <is>
          <t>To CC Ecommerce 0722</t>
        </is>
      </c>
      <c r="G151" s="15" t="inlineStr">
        <is>
          <t>CC Ecommerce Solutions</t>
        </is>
      </c>
      <c r="H151" s="15" t="inlineStr">
        <is>
          <t>Voorraad/Leverancier</t>
        </is>
      </c>
      <c r="I151" s="15" t="inlineStr">
        <is>
          <t>Zakelijk</t>
        </is>
      </c>
      <c r="J151" s="15" t="inlineStr">
        <is>
          <t>Nee</t>
        </is>
      </c>
      <c r="K151" s="18" t="n">
        <v>2000.2</v>
      </c>
      <c r="L151" s="15" t="n"/>
      <c r="M151" s="15" t="inlineStr"/>
      <c r="N151" s="15" t="inlineStr">
        <is>
          <t>incl. fee</t>
        </is>
      </c>
    </row>
    <row r="152">
      <c r="A152" s="13" t="n">
        <v>46175</v>
      </c>
      <c r="B152" s="14">
        <f>ISOWEEKNUM(A152)</f>
        <v/>
      </c>
      <c r="C152" s="13">
        <f>A152-WEEKDAY(A152,2)+1</f>
        <v/>
      </c>
      <c r="D152" s="14">
        <f>TEXT(A152,"mmm yyyy")</f>
        <v/>
      </c>
      <c r="E152" s="14" t="inlineStr">
        <is>
          <t>In</t>
        </is>
      </c>
      <c r="F152" s="14" t="inlineStr">
        <is>
          <t>Money added Stripe D5L8X3</t>
        </is>
      </c>
      <c r="G152" s="14" t="inlineStr">
        <is>
          <t>Stripe</t>
        </is>
      </c>
      <c r="H152" s="14" t="inlineStr">
        <is>
          <t>Omzet</t>
        </is>
      </c>
      <c r="I152" s="14" t="inlineStr">
        <is>
          <t>Zakelijk</t>
        </is>
      </c>
      <c r="J152" s="14" t="inlineStr">
        <is>
          <t>Nee</t>
        </is>
      </c>
      <c r="K152" s="15" t="n"/>
      <c r="L152" s="16" t="n">
        <v>2587.24</v>
      </c>
      <c r="M152" s="15" t="inlineStr"/>
      <c r="N152" s="14" t="inlineStr"/>
    </row>
    <row r="153">
      <c r="A153" s="13" t="n">
        <v>46174</v>
      </c>
      <c r="B153" s="14">
        <f>ISOWEEKNUM(A153)</f>
        <v/>
      </c>
      <c r="C153" s="13">
        <f>A153-WEEKDAY(A153,2)+1</f>
        <v/>
      </c>
      <c r="D153" s="14">
        <f>TEXT(A153,"mmm yyyy")</f>
        <v/>
      </c>
      <c r="E153" s="14" t="inlineStr">
        <is>
          <t>In</t>
        </is>
      </c>
      <c r="F153" s="14" t="inlineStr">
        <is>
          <t>From Talat U</t>
        </is>
      </c>
      <c r="G153" s="14" t="inlineStr">
        <is>
          <t>Talat</t>
        </is>
      </c>
      <c r="H153" s="14" t="inlineStr">
        <is>
          <t>Eigen inleg</t>
        </is>
      </c>
      <c r="I153" s="14" t="inlineStr">
        <is>
          <t>Prive</t>
        </is>
      </c>
      <c r="J153" s="14" t="inlineStr">
        <is>
          <t>Inleg/terugbetaling</t>
        </is>
      </c>
      <c r="K153" s="15" t="n"/>
      <c r="L153" s="16" t="n">
        <v>30</v>
      </c>
      <c r="M153" s="15" t="inlineStr"/>
      <c r="N153" s="14" t="inlineStr">
        <is>
          <t>Terugbetaling prive naar zaak</t>
        </is>
      </c>
    </row>
    <row r="154">
      <c r="A154" s="17" t="n">
        <v>46174</v>
      </c>
      <c r="B154" s="15">
        <f>ISOWEEKNUM(A154)</f>
        <v/>
      </c>
      <c r="C154" s="17">
        <f>A154-WEEKDAY(A154,2)+1</f>
        <v/>
      </c>
      <c r="D154" s="15">
        <f>TEXT(A154,"mmm yyyy")</f>
        <v/>
      </c>
      <c r="E154" s="15" t="inlineStr">
        <is>
          <t>Uit</t>
        </is>
      </c>
      <c r="F154" s="15" t="inlineStr">
        <is>
          <t>Higgsfield Inc</t>
        </is>
      </c>
      <c r="G154" s="15" t="inlineStr">
        <is>
          <t>Higgsfield</t>
        </is>
      </c>
      <c r="H154" s="15" t="inlineStr">
        <is>
          <t>Software &amp; Tools</t>
        </is>
      </c>
      <c r="I154" s="15" t="inlineStr">
        <is>
          <t>Zakelijk</t>
        </is>
      </c>
      <c r="J154" s="15" t="inlineStr">
        <is>
          <t>Nee</t>
        </is>
      </c>
      <c r="K154" s="18" t="n">
        <v>43.76</v>
      </c>
      <c r="L154" s="15" t="n"/>
      <c r="M154" s="15" t="inlineStr"/>
      <c r="N154" s="15" t="inlineStr"/>
    </row>
    <row r="155">
      <c r="A155" s="17" t="n">
        <v>46174</v>
      </c>
      <c r="B155" s="15">
        <f>ISOWEEKNUM(A155)</f>
        <v/>
      </c>
      <c r="C155" s="17">
        <f>A155-WEEKDAY(A155,2)+1</f>
        <v/>
      </c>
      <c r="D155" s="15">
        <f>TEXT(A155,"mmm yyyy")</f>
        <v/>
      </c>
      <c r="E155" s="15" t="inlineStr">
        <is>
          <t>Uit</t>
        </is>
      </c>
      <c r="F155" s="15" t="inlineStr">
        <is>
          <t>Oxylabs Oxylabs</t>
        </is>
      </c>
      <c r="G155" s="15" t="inlineStr">
        <is>
          <t>Oxylabs</t>
        </is>
      </c>
      <c r="H155" s="15" t="inlineStr">
        <is>
          <t>Software &amp; Tools</t>
        </is>
      </c>
      <c r="I155" s="15" t="inlineStr">
        <is>
          <t>Zakelijk</t>
        </is>
      </c>
      <c r="J155" s="15" t="inlineStr">
        <is>
          <t>Nee</t>
        </is>
      </c>
      <c r="K155" s="18" t="n">
        <v>31.2</v>
      </c>
      <c r="L155" s="15" t="n"/>
      <c r="M155" s="15" t="inlineStr">
        <is>
          <t>$36.30</t>
        </is>
      </c>
      <c r="N155" s="15" t="inlineStr"/>
    </row>
    <row r="156">
      <c r="A156" s="17" t="n">
        <v>46174</v>
      </c>
      <c r="B156" s="15">
        <f>ISOWEEKNUM(A156)</f>
        <v/>
      </c>
      <c r="C156" s="17">
        <f>A156-WEEKDAY(A156,2)+1</f>
        <v/>
      </c>
      <c r="D156" s="15">
        <f>TEXT(A156,"mmm yyyy")</f>
        <v/>
      </c>
      <c r="E156" s="15" t="inlineStr">
        <is>
          <t>Uit</t>
        </is>
      </c>
      <c r="F156" s="15" t="inlineStr">
        <is>
          <t>Checkify.pro</t>
        </is>
      </c>
      <c r="G156" s="15" t="inlineStr">
        <is>
          <t>Checkify.pro</t>
        </is>
      </c>
      <c r="H156" s="15" t="inlineStr">
        <is>
          <t>Software &amp; Tools</t>
        </is>
      </c>
      <c r="I156" s="15" t="inlineStr">
        <is>
          <t>Zakelijk</t>
        </is>
      </c>
      <c r="J156" s="15" t="inlineStr">
        <is>
          <t>Nee</t>
        </is>
      </c>
      <c r="K156" s="18" t="n">
        <v>54.8</v>
      </c>
      <c r="L156" s="15" t="n"/>
      <c r="M156" s="15" t="inlineStr"/>
      <c r="N156" s="15" t="inlineStr"/>
    </row>
    <row r="157">
      <c r="A157" s="17" t="n">
        <v>46174</v>
      </c>
      <c r="B157" s="15">
        <f>ISOWEEKNUM(A157)</f>
        <v/>
      </c>
      <c r="C157" s="17">
        <f>A157-WEEKDAY(A157,2)+1</f>
        <v/>
      </c>
      <c r="D157" s="15">
        <f>TEXT(A157,"mmm yyyy")</f>
        <v/>
      </c>
      <c r="E157" s="15" t="inlineStr">
        <is>
          <t>Uit</t>
        </is>
      </c>
      <c r="F157" s="15" t="inlineStr">
        <is>
          <t>To CC Ecommerce 0722</t>
        </is>
      </c>
      <c r="G157" s="15" t="inlineStr">
        <is>
          <t>CC Ecommerce Solutions</t>
        </is>
      </c>
      <c r="H157" s="15" t="inlineStr">
        <is>
          <t>Voorraad/Leverancier</t>
        </is>
      </c>
      <c r="I157" s="15" t="inlineStr">
        <is>
          <t>Zakelijk</t>
        </is>
      </c>
      <c r="J157" s="15" t="inlineStr">
        <is>
          <t>Nee</t>
        </is>
      </c>
      <c r="K157" s="18" t="n">
        <v>3000.2</v>
      </c>
      <c r="L157" s="15" t="n"/>
      <c r="M157" s="15" t="inlineStr"/>
      <c r="N157" s="15" t="inlineStr">
        <is>
          <t>incl. fee</t>
        </is>
      </c>
    </row>
    <row r="158">
      <c r="A158" s="13" t="n">
        <v>46174</v>
      </c>
      <c r="B158" s="14">
        <f>ISOWEEKNUM(A158)</f>
        <v/>
      </c>
      <c r="C158" s="13">
        <f>A158-WEEKDAY(A158,2)+1</f>
        <v/>
      </c>
      <c r="D158" s="14">
        <f>TEXT(A158,"mmm yyyy")</f>
        <v/>
      </c>
      <c r="E158" s="14" t="inlineStr">
        <is>
          <t>In</t>
        </is>
      </c>
      <c r="F158" s="14" t="inlineStr">
        <is>
          <t>Money added Stripe V8E4U1</t>
        </is>
      </c>
      <c r="G158" s="14" t="inlineStr">
        <is>
          <t>Stripe</t>
        </is>
      </c>
      <c r="H158" s="14" t="inlineStr">
        <is>
          <t>Omzet</t>
        </is>
      </c>
      <c r="I158" s="14" t="inlineStr">
        <is>
          <t>Zakelijk</t>
        </is>
      </c>
      <c r="J158" s="14" t="inlineStr">
        <is>
          <t>Nee</t>
        </is>
      </c>
      <c r="K158" s="15" t="n"/>
      <c r="L158" s="16" t="n">
        <v>3045.08</v>
      </c>
      <c r="M158" s="15" t="inlineStr"/>
      <c r="N158" s="14" t="inlineStr"/>
    </row>
    <row r="159">
      <c r="A159" s="10" t="n">
        <v>46174</v>
      </c>
      <c r="B159" s="11">
        <f>ISOWEEKNUM(A159)</f>
        <v/>
      </c>
      <c r="C159" s="10">
        <f>A159-WEEKDAY(A159,2)+1</f>
        <v/>
      </c>
      <c r="D159" s="11">
        <f>TEXT(A159,"mmm yyyy")</f>
        <v/>
      </c>
      <c r="E159" s="11" t="inlineStr">
        <is>
          <t>Uit</t>
        </is>
      </c>
      <c r="F159" s="11" t="inlineStr">
        <is>
          <t>To Dominos</t>
        </is>
      </c>
      <c r="G159" s="11" t="inlineStr">
        <is>
          <t>Dominos</t>
        </is>
      </c>
      <c r="H159" s="11" t="inlineStr">
        <is>
          <t>Eten &amp; Restaurant</t>
        </is>
      </c>
      <c r="I159" s="11" t="inlineStr">
        <is>
          <t>Prive</t>
        </is>
      </c>
      <c r="J159" s="11" t="inlineStr">
        <is>
          <t>Ja</t>
        </is>
      </c>
      <c r="K159" s="12" t="n">
        <v>74.59</v>
      </c>
      <c r="L159" s="11" t="n"/>
      <c r="M159" s="11" t="inlineStr"/>
      <c r="N159" s="11" t="inlineStr">
        <is>
          <t>incl. fee</t>
        </is>
      </c>
    </row>
    <row r="160">
      <c r="A160" s="17" t="n">
        <v>46173</v>
      </c>
      <c r="B160" s="15">
        <f>ISOWEEKNUM(A160)</f>
        <v/>
      </c>
      <c r="C160" s="17">
        <f>A160-WEEKDAY(A160,2)+1</f>
        <v/>
      </c>
      <c r="D160" s="15">
        <f>TEXT(A160,"mmm yyyy")</f>
        <v/>
      </c>
      <c r="E160" s="15" t="inlineStr">
        <is>
          <t>Uit</t>
        </is>
      </c>
      <c r="F160" s="15" t="inlineStr">
        <is>
          <t>Higgsfield Inc</t>
        </is>
      </c>
      <c r="G160" s="15" t="inlineStr">
        <is>
          <t>Higgsfield</t>
        </is>
      </c>
      <c r="H160" s="15" t="inlineStr">
        <is>
          <t>Software &amp; Tools</t>
        </is>
      </c>
      <c r="I160" s="15" t="inlineStr">
        <is>
          <t>Zakelijk</t>
        </is>
      </c>
      <c r="J160" s="15" t="inlineStr">
        <is>
          <t>Nee</t>
        </is>
      </c>
      <c r="K160" s="18" t="n">
        <v>58.3</v>
      </c>
      <c r="L160" s="15" t="n"/>
      <c r="M160" s="15" t="inlineStr">
        <is>
          <t>$67.23</t>
        </is>
      </c>
      <c r="N160" s="15" t="inlineStr"/>
    </row>
    <row r="161">
      <c r="A161" s="17" t="n">
        <v>46173</v>
      </c>
      <c r="B161" s="15">
        <f>ISOWEEKNUM(A161)</f>
        <v/>
      </c>
      <c r="C161" s="17">
        <f>A161-WEEKDAY(A161,2)+1</f>
        <v/>
      </c>
      <c r="D161" s="15">
        <f>TEXT(A161,"mmm yyyy")</f>
        <v/>
      </c>
      <c r="E161" s="15" t="inlineStr">
        <is>
          <t>Uit</t>
        </is>
      </c>
      <c r="F161" s="15" t="inlineStr">
        <is>
          <t>Elevenlabs.io</t>
        </is>
      </c>
      <c r="G161" s="15" t="inlineStr">
        <is>
          <t>ElevenLabs</t>
        </is>
      </c>
      <c r="H161" s="15" t="inlineStr">
        <is>
          <t>Software &amp; Tools</t>
        </is>
      </c>
      <c r="I161" s="15" t="inlineStr">
        <is>
          <t>Zakelijk</t>
        </is>
      </c>
      <c r="J161" s="15" t="inlineStr">
        <is>
          <t>Nee</t>
        </is>
      </c>
      <c r="K161" s="18" t="n">
        <v>11.54</v>
      </c>
      <c r="L161" s="15" t="n"/>
      <c r="M161" s="15" t="inlineStr">
        <is>
          <t>$13.31</t>
        </is>
      </c>
      <c r="N161" s="15" t="inlineStr"/>
    </row>
    <row r="162">
      <c r="A162" s="17" t="n">
        <v>46173</v>
      </c>
      <c r="B162" s="15">
        <f>ISOWEEKNUM(A162)</f>
        <v/>
      </c>
      <c r="C162" s="17">
        <f>A162-WEEKDAY(A162,2)+1</f>
        <v/>
      </c>
      <c r="D162" s="15">
        <f>TEXT(A162,"mmm yyyy")</f>
        <v/>
      </c>
      <c r="E162" s="15" t="inlineStr">
        <is>
          <t>Uit</t>
        </is>
      </c>
      <c r="F162" s="15" t="inlineStr">
        <is>
          <t>Checkify.pro Subs Fees</t>
        </is>
      </c>
      <c r="G162" s="15" t="inlineStr">
        <is>
          <t>Checkify.pro</t>
        </is>
      </c>
      <c r="H162" s="15" t="inlineStr">
        <is>
          <t>Software &amp; Tools</t>
        </is>
      </c>
      <c r="I162" s="15" t="inlineStr">
        <is>
          <t>Zakelijk</t>
        </is>
      </c>
      <c r="J162" s="15" t="inlineStr">
        <is>
          <t>Nee</t>
        </is>
      </c>
      <c r="K162" s="18" t="n">
        <v>25.16</v>
      </c>
      <c r="L162" s="15" t="n"/>
      <c r="M162" s="15" t="inlineStr"/>
      <c r="N162" s="15" t="inlineStr"/>
    </row>
    <row r="163">
      <c r="A163" s="17" t="n">
        <v>46173</v>
      </c>
      <c r="B163" s="15">
        <f>ISOWEEKNUM(A163)</f>
        <v/>
      </c>
      <c r="C163" s="17">
        <f>A163-WEEKDAY(A163,2)+1</f>
        <v/>
      </c>
      <c r="D163" s="15">
        <f>TEXT(A163,"mmm yyyy")</f>
        <v/>
      </c>
      <c r="E163" s="15" t="inlineStr">
        <is>
          <t>Uit</t>
        </is>
      </c>
      <c r="F163" s="15" t="inlineStr">
        <is>
          <t>Shopify 537395896</t>
        </is>
      </c>
      <c r="G163" s="15" t="inlineStr">
        <is>
          <t>Shopify</t>
        </is>
      </c>
      <c r="H163" s="15" t="inlineStr">
        <is>
          <t>Software &amp; Tools</t>
        </is>
      </c>
      <c r="I163" s="15" t="inlineStr">
        <is>
          <t>Zakelijk</t>
        </is>
      </c>
      <c r="J163" s="15" t="inlineStr">
        <is>
          <t>Nee</t>
        </is>
      </c>
      <c r="K163" s="18" t="n">
        <v>10.96</v>
      </c>
      <c r="L163" s="15" t="n"/>
      <c r="M163" s="15" t="inlineStr"/>
      <c r="N163" s="15" t="inlineStr"/>
    </row>
    <row r="164">
      <c r="A164" s="17" t="n">
        <v>46173</v>
      </c>
      <c r="B164" s="15">
        <f>ISOWEEKNUM(A164)</f>
        <v/>
      </c>
      <c r="C164" s="17">
        <f>A164-WEEKDAY(A164,2)+1</f>
        <v/>
      </c>
      <c r="D164" s="15">
        <f>TEXT(A164,"mmm yyyy")</f>
        <v/>
      </c>
      <c r="E164" s="15" t="inlineStr">
        <is>
          <t>Uit</t>
        </is>
      </c>
      <c r="F164" s="15" t="inlineStr">
        <is>
          <t>Checkify.pro Subs Fees</t>
        </is>
      </c>
      <c r="G164" s="15" t="inlineStr">
        <is>
          <t>Checkify.pro</t>
        </is>
      </c>
      <c r="H164" s="15" t="inlineStr">
        <is>
          <t>Software &amp; Tools</t>
        </is>
      </c>
      <c r="I164" s="15" t="inlineStr">
        <is>
          <t>Zakelijk</t>
        </is>
      </c>
      <c r="J164" s="15" t="inlineStr">
        <is>
          <t>Nee</t>
        </is>
      </c>
      <c r="K164" s="18" t="n">
        <v>25.33</v>
      </c>
      <c r="L164" s="15" t="n"/>
      <c r="M164" s="15" t="inlineStr"/>
      <c r="N164" s="15" t="inlineStr"/>
    </row>
    <row r="165">
      <c r="A165" s="17" t="n">
        <v>46172</v>
      </c>
      <c r="B165" s="15">
        <f>ISOWEEKNUM(A165)</f>
        <v/>
      </c>
      <c r="C165" s="17">
        <f>A165-WEEKDAY(A165,2)+1</f>
        <v/>
      </c>
      <c r="D165" s="15">
        <f>TEXT(A165,"mmm yyyy")</f>
        <v/>
      </c>
      <c r="E165" s="15" t="inlineStr">
        <is>
          <t>Uit</t>
        </is>
      </c>
      <c r="F165" s="15" t="inlineStr">
        <is>
          <t>Checkify.pro Subs Fees</t>
        </is>
      </c>
      <c r="G165" s="15" t="inlineStr">
        <is>
          <t>Checkify.pro</t>
        </is>
      </c>
      <c r="H165" s="15" t="inlineStr">
        <is>
          <t>Software &amp; Tools</t>
        </is>
      </c>
      <c r="I165" s="15" t="inlineStr">
        <is>
          <t>Zakelijk</t>
        </is>
      </c>
      <c r="J165" s="15" t="inlineStr">
        <is>
          <t>Nee</t>
        </is>
      </c>
      <c r="K165" s="18" t="n">
        <v>25.07</v>
      </c>
      <c r="L165" s="15" t="n"/>
      <c r="M165" s="15" t="inlineStr"/>
      <c r="N165" s="15" t="inlineStr"/>
    </row>
    <row r="166">
      <c r="A166" s="17" t="n">
        <v>46171</v>
      </c>
      <c r="B166" s="15">
        <f>ISOWEEKNUM(A166)</f>
        <v/>
      </c>
      <c r="C166" s="17">
        <f>A166-WEEKDAY(A166,2)+1</f>
        <v/>
      </c>
      <c r="D166" s="15">
        <f>TEXT(A166,"mmm yyyy")</f>
        <v/>
      </c>
      <c r="E166" s="15" t="inlineStr">
        <is>
          <t>Uit</t>
        </is>
      </c>
      <c r="F166" s="15" t="inlineStr">
        <is>
          <t>Shopify 536356534</t>
        </is>
      </c>
      <c r="G166" s="15" t="inlineStr">
        <is>
          <t>Shopify</t>
        </is>
      </c>
      <c r="H166" s="15" t="inlineStr">
        <is>
          <t>Software &amp; Tools</t>
        </is>
      </c>
      <c r="I166" s="15" t="inlineStr">
        <is>
          <t>Zakelijk</t>
        </is>
      </c>
      <c r="J166" s="15" t="inlineStr">
        <is>
          <t>Nee</t>
        </is>
      </c>
      <c r="K166" s="18" t="n">
        <v>47.13</v>
      </c>
      <c r="L166" s="15" t="n"/>
      <c r="M166" s="15" t="inlineStr"/>
      <c r="N166" s="15" t="inlineStr"/>
    </row>
    <row r="167">
      <c r="A167" s="17" t="n">
        <v>46171</v>
      </c>
      <c r="B167" s="15">
        <f>ISOWEEKNUM(A167)</f>
        <v/>
      </c>
      <c r="C167" s="17">
        <f>A167-WEEKDAY(A167,2)+1</f>
        <v/>
      </c>
      <c r="D167" s="15">
        <f>TEXT(A167,"mmm yyyy")</f>
        <v/>
      </c>
      <c r="E167" s="15" t="inlineStr">
        <is>
          <t>Uit</t>
        </is>
      </c>
      <c r="F167" s="15" t="inlineStr">
        <is>
          <t>To CC Ecommerce 0722</t>
        </is>
      </c>
      <c r="G167" s="15" t="inlineStr">
        <is>
          <t>CC Ecommerce Solutions</t>
        </is>
      </c>
      <c r="H167" s="15" t="inlineStr">
        <is>
          <t>Voorraad/Leverancier</t>
        </is>
      </c>
      <c r="I167" s="15" t="inlineStr">
        <is>
          <t>Zakelijk</t>
        </is>
      </c>
      <c r="J167" s="15" t="inlineStr">
        <is>
          <t>Nee</t>
        </is>
      </c>
      <c r="K167" s="18" t="n">
        <v>2500.2</v>
      </c>
      <c r="L167" s="15" t="n"/>
      <c r="M167" s="15" t="inlineStr"/>
      <c r="N167" s="15" t="inlineStr">
        <is>
          <t>incl. fee</t>
        </is>
      </c>
    </row>
    <row r="168">
      <c r="A168" s="17" t="n">
        <v>46171</v>
      </c>
      <c r="B168" s="15">
        <f>ISOWEEKNUM(A168)</f>
        <v/>
      </c>
      <c r="C168" s="17">
        <f>A168-WEEKDAY(A168,2)+1</f>
        <v/>
      </c>
      <c r="D168" s="15">
        <f>TEXT(A168,"mmm yyyy")</f>
        <v/>
      </c>
      <c r="E168" s="15" t="inlineStr">
        <is>
          <t>Uit</t>
        </is>
      </c>
      <c r="F168" s="15" t="inlineStr">
        <is>
          <t>To CC Ecommerce 0722</t>
        </is>
      </c>
      <c r="G168" s="15" t="inlineStr">
        <is>
          <t>CC Ecommerce Solutions</t>
        </is>
      </c>
      <c r="H168" s="15" t="inlineStr">
        <is>
          <t>Voorraad/Leverancier</t>
        </is>
      </c>
      <c r="I168" s="15" t="inlineStr">
        <is>
          <t>Zakelijk</t>
        </is>
      </c>
      <c r="J168" s="15" t="inlineStr">
        <is>
          <t>Nee</t>
        </is>
      </c>
      <c r="K168" s="18" t="n">
        <v>3000.2</v>
      </c>
      <c r="L168" s="15" t="n"/>
      <c r="M168" s="15" t="inlineStr"/>
      <c r="N168" s="15" t="inlineStr">
        <is>
          <t>incl. fee</t>
        </is>
      </c>
    </row>
    <row r="169">
      <c r="A169" s="13" t="n">
        <v>46171</v>
      </c>
      <c r="B169" s="14">
        <f>ISOWEEKNUM(A169)</f>
        <v/>
      </c>
      <c r="C169" s="13">
        <f>A169-WEEKDAY(A169,2)+1</f>
        <v/>
      </c>
      <c r="D169" s="14">
        <f>TEXT(A169,"mmm yyyy")</f>
        <v/>
      </c>
      <c r="E169" s="14" t="inlineStr">
        <is>
          <t>In</t>
        </is>
      </c>
      <c r="F169" s="14" t="inlineStr">
        <is>
          <t>Money added Stripe K8W3R9</t>
        </is>
      </c>
      <c r="G169" s="14" t="inlineStr">
        <is>
          <t>Stripe</t>
        </is>
      </c>
      <c r="H169" s="14" t="inlineStr">
        <is>
          <t>Omzet</t>
        </is>
      </c>
      <c r="I169" s="14" t="inlineStr">
        <is>
          <t>Zakelijk</t>
        </is>
      </c>
      <c r="J169" s="14" t="inlineStr">
        <is>
          <t>Nee</t>
        </is>
      </c>
      <c r="K169" s="15" t="n"/>
      <c r="L169" s="16" t="n">
        <v>2795.81</v>
      </c>
      <c r="M169" s="15" t="inlineStr"/>
      <c r="N169" s="14" t="inlineStr"/>
    </row>
    <row r="170">
      <c r="A170" s="17" t="n">
        <v>46170</v>
      </c>
      <c r="B170" s="15">
        <f>ISOWEEKNUM(A170)</f>
        <v/>
      </c>
      <c r="C170" s="17">
        <f>A170-WEEKDAY(A170,2)+1</f>
        <v/>
      </c>
      <c r="D170" s="15">
        <f>TEXT(A170,"mmm yyyy")</f>
        <v/>
      </c>
      <c r="E170" s="15" t="inlineStr">
        <is>
          <t>Uit</t>
        </is>
      </c>
      <c r="F170" s="15" t="inlineStr">
        <is>
          <t>To HK Jinchenyun CD000749</t>
        </is>
      </c>
      <c r="G170" s="15" t="inlineStr">
        <is>
          <t>HK Jinchenyun</t>
        </is>
      </c>
      <c r="H170" s="15" t="inlineStr">
        <is>
          <t>Voorraad/Leverancier</t>
        </is>
      </c>
      <c r="I170" s="15" t="inlineStr">
        <is>
          <t>Zakelijk</t>
        </is>
      </c>
      <c r="J170" s="15" t="inlineStr">
        <is>
          <t>Nee</t>
        </is>
      </c>
      <c r="K170" s="18" t="n">
        <v>5000</v>
      </c>
      <c r="L170" s="15" t="n"/>
      <c r="M170" s="15" t="inlineStr"/>
      <c r="N170" s="15" t="inlineStr"/>
    </row>
    <row r="171">
      <c r="A171" s="17" t="n">
        <v>46170</v>
      </c>
      <c r="B171" s="15">
        <f>ISOWEEKNUM(A171)</f>
        <v/>
      </c>
      <c r="C171" s="17">
        <f>A171-WEEKDAY(A171,2)+1</f>
        <v/>
      </c>
      <c r="D171" s="15">
        <f>TEXT(A171,"mmm yyyy")</f>
        <v/>
      </c>
      <c r="E171" s="15" t="inlineStr">
        <is>
          <t>Uit</t>
        </is>
      </c>
      <c r="F171" s="15" t="inlineStr">
        <is>
          <t>Elevenlabs.io</t>
        </is>
      </c>
      <c r="G171" s="15" t="inlineStr">
        <is>
          <t>ElevenLabs</t>
        </is>
      </c>
      <c r="H171" s="15" t="inlineStr">
        <is>
          <t>Software &amp; Tools</t>
        </is>
      </c>
      <c r="I171" s="15" t="inlineStr">
        <is>
          <t>Zakelijk</t>
        </is>
      </c>
      <c r="J171" s="15" t="inlineStr">
        <is>
          <t>Nee</t>
        </is>
      </c>
      <c r="K171" s="18" t="n">
        <v>5.21</v>
      </c>
      <c r="L171" s="15" t="n"/>
      <c r="M171" s="15" t="inlineStr">
        <is>
          <t>$6.05</t>
        </is>
      </c>
      <c r="N171" s="15" t="inlineStr"/>
    </row>
    <row r="172">
      <c r="A172" s="10" t="n">
        <v>46170</v>
      </c>
      <c r="B172" s="11">
        <f>ISOWEEKNUM(A172)</f>
        <v/>
      </c>
      <c r="C172" s="10">
        <f>A172-WEEKDAY(A172,2)+1</f>
        <v/>
      </c>
      <c r="D172" s="11">
        <f>TEXT(A172,"mmm yyyy")</f>
        <v/>
      </c>
      <c r="E172" s="11" t="inlineStr">
        <is>
          <t>Uit</t>
        </is>
      </c>
      <c r="F172" s="11" t="inlineStr">
        <is>
          <t>Easyparknlcom</t>
        </is>
      </c>
      <c r="G172" s="11" t="inlineStr">
        <is>
          <t>Easypark</t>
        </is>
      </c>
      <c r="H172" s="11" t="inlineStr">
        <is>
          <t>Parkeren</t>
        </is>
      </c>
      <c r="I172" s="11" t="inlineStr">
        <is>
          <t>Prive</t>
        </is>
      </c>
      <c r="J172" s="11" t="inlineStr">
        <is>
          <t>Ja</t>
        </is>
      </c>
      <c r="K172" s="12" t="n">
        <v>2.54</v>
      </c>
      <c r="L172" s="11" t="n"/>
      <c r="M172" s="11" t="inlineStr"/>
      <c r="N172" s="11" t="inlineStr"/>
    </row>
    <row r="173">
      <c r="A173" s="17" t="n">
        <v>46170</v>
      </c>
      <c r="B173" s="15">
        <f>ISOWEEKNUM(A173)</f>
        <v/>
      </c>
      <c r="C173" s="17">
        <f>A173-WEEKDAY(A173,2)+1</f>
        <v/>
      </c>
      <c r="D173" s="15">
        <f>TEXT(A173,"mmm yyyy")</f>
        <v/>
      </c>
      <c r="E173" s="15" t="inlineStr">
        <is>
          <t>Uit</t>
        </is>
      </c>
      <c r="F173" s="15" t="inlineStr">
        <is>
          <t>Checkify.pro Subs Fees</t>
        </is>
      </c>
      <c r="G173" s="15" t="inlineStr">
        <is>
          <t>Checkify.pro</t>
        </is>
      </c>
      <c r="H173" s="15" t="inlineStr">
        <is>
          <t>Software &amp; Tools</t>
        </is>
      </c>
      <c r="I173" s="15" t="inlineStr">
        <is>
          <t>Zakelijk</t>
        </is>
      </c>
      <c r="J173" s="15" t="inlineStr">
        <is>
          <t>Nee</t>
        </is>
      </c>
      <c r="K173" s="18" t="n">
        <v>25.2</v>
      </c>
      <c r="L173" s="15" t="n"/>
      <c r="M173" s="15" t="inlineStr"/>
      <c r="N173" s="15" t="inlineStr"/>
    </row>
    <row r="174">
      <c r="A174" s="13" t="n">
        <v>46170</v>
      </c>
      <c r="B174" s="14">
        <f>ISOWEEKNUM(A174)</f>
        <v/>
      </c>
      <c r="C174" s="13">
        <f>A174-WEEKDAY(A174,2)+1</f>
        <v/>
      </c>
      <c r="D174" s="14">
        <f>TEXT(A174,"mmm yyyy")</f>
        <v/>
      </c>
      <c r="E174" s="14" t="inlineStr">
        <is>
          <t>In</t>
        </is>
      </c>
      <c r="F174" s="14" t="inlineStr">
        <is>
          <t>Money added Stripe N6U7S9</t>
        </is>
      </c>
      <c r="G174" s="14" t="inlineStr">
        <is>
          <t>Stripe</t>
        </is>
      </c>
      <c r="H174" s="14" t="inlineStr">
        <is>
          <t>Omzet</t>
        </is>
      </c>
      <c r="I174" s="14" t="inlineStr">
        <is>
          <t>Zakelijk</t>
        </is>
      </c>
      <c r="J174" s="14" t="inlineStr">
        <is>
          <t>Nee</t>
        </is>
      </c>
      <c r="K174" s="15" t="n"/>
      <c r="L174" s="16" t="n">
        <v>8329.93</v>
      </c>
      <c r="M174" s="15" t="inlineStr"/>
      <c r="N174" s="14" t="inlineStr"/>
    </row>
    <row r="175">
      <c r="A175" s="17" t="n">
        <v>46169</v>
      </c>
      <c r="B175" s="15">
        <f>ISOWEEKNUM(A175)</f>
        <v/>
      </c>
      <c r="C175" s="17">
        <f>A175-WEEKDAY(A175,2)+1</f>
        <v/>
      </c>
      <c r="D175" s="15">
        <f>TEXT(A175,"mmm yyyy")</f>
        <v/>
      </c>
      <c r="E175" s="15" t="inlineStr">
        <is>
          <t>Uit</t>
        </is>
      </c>
      <c r="F175" s="15" t="inlineStr">
        <is>
          <t>To CC Ecommerce 0722</t>
        </is>
      </c>
      <c r="G175" s="15" t="inlineStr">
        <is>
          <t>CC Ecommerce Solutions</t>
        </is>
      </c>
      <c r="H175" s="15" t="inlineStr">
        <is>
          <t>Voorraad/Leverancier</t>
        </is>
      </c>
      <c r="I175" s="15" t="inlineStr">
        <is>
          <t>Zakelijk</t>
        </is>
      </c>
      <c r="J175" s="15" t="inlineStr">
        <is>
          <t>Nee</t>
        </is>
      </c>
      <c r="K175" s="18" t="n">
        <v>2400</v>
      </c>
      <c r="L175" s="15" t="n"/>
      <c r="M175" s="15" t="inlineStr"/>
      <c r="N175" s="15" t="inlineStr"/>
    </row>
    <row r="176">
      <c r="A176" s="17" t="n">
        <v>46169</v>
      </c>
      <c r="B176" s="15">
        <f>ISOWEEKNUM(A176)</f>
        <v/>
      </c>
      <c r="C176" s="17">
        <f>A176-WEEKDAY(A176,2)+1</f>
        <v/>
      </c>
      <c r="D176" s="15">
        <f>TEXT(A176,"mmm yyyy")</f>
        <v/>
      </c>
      <c r="E176" s="15" t="inlineStr">
        <is>
          <t>Uit</t>
        </is>
      </c>
      <c r="F176" s="15" t="inlineStr">
        <is>
          <t>Checkify.pro Subs Fees</t>
        </is>
      </c>
      <c r="G176" s="15" t="inlineStr">
        <is>
          <t>Checkify.pro</t>
        </is>
      </c>
      <c r="H176" s="15" t="inlineStr">
        <is>
          <t>Software &amp; Tools</t>
        </is>
      </c>
      <c r="I176" s="15" t="inlineStr">
        <is>
          <t>Zakelijk</t>
        </is>
      </c>
      <c r="J176" s="15" t="inlineStr">
        <is>
          <t>Nee</t>
        </is>
      </c>
      <c r="K176" s="18" t="n">
        <v>25.2</v>
      </c>
      <c r="L176" s="15" t="n"/>
      <c r="M176" s="15" t="inlineStr"/>
      <c r="N176" s="15" t="inlineStr"/>
    </row>
    <row r="177">
      <c r="A177" s="13" t="n">
        <v>46169</v>
      </c>
      <c r="B177" s="14">
        <f>ISOWEEKNUM(A177)</f>
        <v/>
      </c>
      <c r="C177" s="13">
        <f>A177-WEEKDAY(A177,2)+1</f>
        <v/>
      </c>
      <c r="D177" s="14">
        <f>TEXT(A177,"mmm yyyy")</f>
        <v/>
      </c>
      <c r="E177" s="14" t="inlineStr">
        <is>
          <t>In</t>
        </is>
      </c>
      <c r="F177" s="14" t="inlineStr">
        <is>
          <t>Money added Stripe K5U1K1</t>
        </is>
      </c>
      <c r="G177" s="14" t="inlineStr">
        <is>
          <t>Stripe</t>
        </is>
      </c>
      <c r="H177" s="14" t="inlineStr">
        <is>
          <t>Omzet</t>
        </is>
      </c>
      <c r="I177" s="14" t="inlineStr">
        <is>
          <t>Zakelijk</t>
        </is>
      </c>
      <c r="J177" s="14" t="inlineStr">
        <is>
          <t>Nee</t>
        </is>
      </c>
      <c r="K177" s="15" t="n"/>
      <c r="L177" s="16" t="n">
        <v>2418.44</v>
      </c>
      <c r="M177" s="15" t="inlineStr"/>
      <c r="N177" s="14" t="inlineStr"/>
    </row>
    <row r="178">
      <c r="A178" s="17" t="n">
        <v>46168</v>
      </c>
      <c r="B178" s="15">
        <f>ISOWEEKNUM(A178)</f>
        <v/>
      </c>
      <c r="C178" s="17">
        <f>A178-WEEKDAY(A178,2)+1</f>
        <v/>
      </c>
      <c r="D178" s="15">
        <f>TEXT(A178,"mmm yyyy")</f>
        <v/>
      </c>
      <c r="E178" s="15" t="inlineStr">
        <is>
          <t>Uit</t>
        </is>
      </c>
      <c r="F178" s="15" t="inlineStr">
        <is>
          <t>To CC Ecommerce 0722</t>
        </is>
      </c>
      <c r="G178" s="15" t="inlineStr">
        <is>
          <t>CC Ecommerce Solutions</t>
        </is>
      </c>
      <c r="H178" s="15" t="inlineStr">
        <is>
          <t>Voorraad/Leverancier</t>
        </is>
      </c>
      <c r="I178" s="15" t="inlineStr">
        <is>
          <t>Zakelijk</t>
        </is>
      </c>
      <c r="J178" s="15" t="inlineStr">
        <is>
          <t>Nee</t>
        </is>
      </c>
      <c r="K178" s="18" t="n">
        <v>2400</v>
      </c>
      <c r="L178" s="15" t="n"/>
      <c r="M178" s="15" t="inlineStr"/>
      <c r="N178" s="15" t="inlineStr"/>
    </row>
    <row r="179">
      <c r="A179" s="17" t="n">
        <v>46168</v>
      </c>
      <c r="B179" s="15">
        <f>ISOWEEKNUM(A179)</f>
        <v/>
      </c>
      <c r="C179" s="17">
        <f>A179-WEEKDAY(A179,2)+1</f>
        <v/>
      </c>
      <c r="D179" s="15">
        <f>TEXT(A179,"mmm yyyy")</f>
        <v/>
      </c>
      <c r="E179" s="15" t="inlineStr">
        <is>
          <t>Uit</t>
        </is>
      </c>
      <c r="F179" s="15" t="inlineStr">
        <is>
          <t>Wetracked.io</t>
        </is>
      </c>
      <c r="G179" s="15" t="inlineStr">
        <is>
          <t>Wetracked</t>
        </is>
      </c>
      <c r="H179" s="15" t="inlineStr">
        <is>
          <t>Software &amp; Tools</t>
        </is>
      </c>
      <c r="I179" s="15" t="inlineStr">
        <is>
          <t>Zakelijk</t>
        </is>
      </c>
      <c r="J179" s="15" t="inlineStr">
        <is>
          <t>Nee</t>
        </is>
      </c>
      <c r="K179" s="18" t="n">
        <v>45.85</v>
      </c>
      <c r="L179" s="15" t="n"/>
      <c r="M179" s="15" t="inlineStr">
        <is>
          <t>$53.36</t>
        </is>
      </c>
      <c r="N179" s="15" t="inlineStr"/>
    </row>
    <row r="180">
      <c r="A180" s="17" t="n">
        <v>46168</v>
      </c>
      <c r="B180" s="15">
        <f>ISOWEEKNUM(A180)</f>
        <v/>
      </c>
      <c r="C180" s="17">
        <f>A180-WEEKDAY(A180,2)+1</f>
        <v/>
      </c>
      <c r="D180" s="15">
        <f>TEXT(A180,"mmm yyyy")</f>
        <v/>
      </c>
      <c r="E180" s="15" t="inlineStr">
        <is>
          <t>Uit</t>
        </is>
      </c>
      <c r="F180" s="15" t="inlineStr">
        <is>
          <t>Oxylabs</t>
        </is>
      </c>
      <c r="G180" s="15" t="inlineStr">
        <is>
          <t>Oxylabs</t>
        </is>
      </c>
      <c r="H180" s="15" t="inlineStr">
        <is>
          <t>Software &amp; Tools</t>
        </is>
      </c>
      <c r="I180" s="15" t="inlineStr">
        <is>
          <t>Zakelijk</t>
        </is>
      </c>
      <c r="J180" s="15" t="inlineStr">
        <is>
          <t>Nee</t>
        </is>
      </c>
      <c r="K180" s="18" t="n">
        <v>32.43</v>
      </c>
      <c r="L180" s="15" t="n"/>
      <c r="M180" s="15" t="inlineStr"/>
      <c r="N180" s="15" t="inlineStr"/>
    </row>
    <row r="181">
      <c r="A181" s="17" t="n">
        <v>46168</v>
      </c>
      <c r="B181" s="15">
        <f>ISOWEEKNUM(A181)</f>
        <v/>
      </c>
      <c r="C181" s="17">
        <f>A181-WEEKDAY(A181,2)+1</f>
        <v/>
      </c>
      <c r="D181" s="15">
        <f>TEXT(A181,"mmm yyyy")</f>
        <v/>
      </c>
      <c r="E181" s="15" t="inlineStr">
        <is>
          <t>Uit</t>
        </is>
      </c>
      <c r="F181" s="15" t="inlineStr">
        <is>
          <t>Abn Amro Incasso Tariferingsnota</t>
        </is>
      </c>
      <c r="G181" s="15" t="inlineStr">
        <is>
          <t>ABN Amro</t>
        </is>
      </c>
      <c r="H181" s="15" t="inlineStr">
        <is>
          <t>Bankkosten</t>
        </is>
      </c>
      <c r="I181" s="15" t="inlineStr">
        <is>
          <t>Zakelijk</t>
        </is>
      </c>
      <c r="J181" s="15" t="inlineStr">
        <is>
          <t>Nee</t>
        </is>
      </c>
      <c r="K181" s="18" t="n">
        <v>9.08</v>
      </c>
      <c r="L181" s="15" t="n"/>
      <c r="M181" s="15" t="inlineStr"/>
      <c r="N181" s="15" t="inlineStr"/>
    </row>
    <row r="182">
      <c r="A182" s="13" t="n">
        <v>46168</v>
      </c>
      <c r="B182" s="14">
        <f>ISOWEEKNUM(A182)</f>
        <v/>
      </c>
      <c r="C182" s="13">
        <f>A182-WEEKDAY(A182,2)+1</f>
        <v/>
      </c>
      <c r="D182" s="14">
        <f>TEXT(A182,"mmm yyyy")</f>
        <v/>
      </c>
      <c r="E182" s="14" t="inlineStr">
        <is>
          <t>In</t>
        </is>
      </c>
      <c r="F182" s="14" t="inlineStr">
        <is>
          <t>Money added Stripe A0W0I3</t>
        </is>
      </c>
      <c r="G182" s="14" t="inlineStr">
        <is>
          <t>Stripe</t>
        </is>
      </c>
      <c r="H182" s="14" t="inlineStr">
        <is>
          <t>Omzet</t>
        </is>
      </c>
      <c r="I182" s="14" t="inlineStr">
        <is>
          <t>Zakelijk</t>
        </is>
      </c>
      <c r="J182" s="14" t="inlineStr">
        <is>
          <t>Nee</t>
        </is>
      </c>
      <c r="K182" s="15" t="n"/>
      <c r="L182" s="16" t="n">
        <v>2378.03</v>
      </c>
      <c r="M182" s="15" t="inlineStr"/>
      <c r="N182" s="14" t="inlineStr"/>
    </row>
    <row r="183">
      <c r="A183" s="17" t="n">
        <v>46167</v>
      </c>
      <c r="B183" s="15">
        <f>ISOWEEKNUM(A183)</f>
        <v/>
      </c>
      <c r="C183" s="17">
        <f>A183-WEEKDAY(A183,2)+1</f>
        <v/>
      </c>
      <c r="D183" s="15">
        <f>TEXT(A183,"mmm yyyy")</f>
        <v/>
      </c>
      <c r="E183" s="15" t="inlineStr">
        <is>
          <t>Uit</t>
        </is>
      </c>
      <c r="F183" s="15" t="inlineStr">
        <is>
          <t>Checkify.pro</t>
        </is>
      </c>
      <c r="G183" s="15" t="inlineStr">
        <is>
          <t>Checkify.pro</t>
        </is>
      </c>
      <c r="H183" s="15" t="inlineStr">
        <is>
          <t>Software &amp; Tools</t>
        </is>
      </c>
      <c r="I183" s="15" t="inlineStr">
        <is>
          <t>Zakelijk</t>
        </is>
      </c>
      <c r="J183" s="15" t="inlineStr">
        <is>
          <t>Nee</t>
        </is>
      </c>
      <c r="K183" s="18" t="n">
        <v>59.42</v>
      </c>
      <c r="L183" s="15" t="n"/>
      <c r="M183" s="15" t="inlineStr"/>
      <c r="N183" s="15" t="inlineStr"/>
    </row>
    <row r="184">
      <c r="A184" s="17" t="n">
        <v>46167</v>
      </c>
      <c r="B184" s="15">
        <f>ISOWEEKNUM(A184)</f>
        <v/>
      </c>
      <c r="C184" s="17">
        <f>A184-WEEKDAY(A184,2)+1</f>
        <v/>
      </c>
      <c r="D184" s="15">
        <f>TEXT(A184,"mmm yyyy")</f>
        <v/>
      </c>
      <c r="E184" s="15" t="inlineStr">
        <is>
          <t>Uit</t>
        </is>
      </c>
      <c r="F184" s="15" t="inlineStr">
        <is>
          <t>To CC Ecommerce 0722</t>
        </is>
      </c>
      <c r="G184" s="15" t="inlineStr">
        <is>
          <t>CC Ecommerce Solutions</t>
        </is>
      </c>
      <c r="H184" s="15" t="inlineStr">
        <is>
          <t>Voorraad/Leverancier</t>
        </is>
      </c>
      <c r="I184" s="15" t="inlineStr">
        <is>
          <t>Zakelijk</t>
        </is>
      </c>
      <c r="J184" s="15" t="inlineStr">
        <is>
          <t>Nee</t>
        </is>
      </c>
      <c r="K184" s="18" t="n">
        <v>1300</v>
      </c>
      <c r="L184" s="15" t="n"/>
      <c r="M184" s="15" t="inlineStr"/>
      <c r="N184" s="15" t="inlineStr"/>
    </row>
    <row r="185">
      <c r="A185" s="17" t="n">
        <v>46167</v>
      </c>
      <c r="B185" s="15">
        <f>ISOWEEKNUM(A185)</f>
        <v/>
      </c>
      <c r="C185" s="17">
        <f>A185-WEEKDAY(A185,2)+1</f>
        <v/>
      </c>
      <c r="D185" s="15">
        <f>TEXT(A185,"mmm yyyy")</f>
        <v/>
      </c>
      <c r="E185" s="15" t="inlineStr">
        <is>
          <t>Uit</t>
        </is>
      </c>
      <c r="F185" s="15" t="inlineStr">
        <is>
          <t>Shopify 534650231</t>
        </is>
      </c>
      <c r="G185" s="15" t="inlineStr">
        <is>
          <t>Shopify</t>
        </is>
      </c>
      <c r="H185" s="15" t="inlineStr">
        <is>
          <t>Software &amp; Tools</t>
        </is>
      </c>
      <c r="I185" s="15" t="inlineStr">
        <is>
          <t>Zakelijk</t>
        </is>
      </c>
      <c r="J185" s="15" t="inlineStr">
        <is>
          <t>Nee</t>
        </is>
      </c>
      <c r="K185" s="18" t="n">
        <v>59.81</v>
      </c>
      <c r="L185" s="15" t="n"/>
      <c r="M185" s="15" t="inlineStr"/>
      <c r="N185" s="15" t="inlineStr"/>
    </row>
    <row r="186">
      <c r="A186" s="17" t="n">
        <v>46167</v>
      </c>
      <c r="B186" s="15">
        <f>ISOWEEKNUM(A186)</f>
        <v/>
      </c>
      <c r="C186" s="17">
        <f>A186-WEEKDAY(A186,2)+1</f>
        <v/>
      </c>
      <c r="D186" s="15">
        <f>TEXT(A186,"mmm yyyy")</f>
        <v/>
      </c>
      <c r="E186" s="15" t="inlineStr">
        <is>
          <t>Uit</t>
        </is>
      </c>
      <c r="F186" s="15" t="inlineStr">
        <is>
          <t>Checkify.pro</t>
        </is>
      </c>
      <c r="G186" s="15" t="inlineStr">
        <is>
          <t>Checkify.pro</t>
        </is>
      </c>
      <c r="H186" s="15" t="inlineStr">
        <is>
          <t>Software &amp; Tools</t>
        </is>
      </c>
      <c r="I186" s="15" t="inlineStr">
        <is>
          <t>Zakelijk</t>
        </is>
      </c>
      <c r="J186" s="15" t="inlineStr">
        <is>
          <t>Nee</t>
        </is>
      </c>
      <c r="K186" s="18" t="n">
        <v>25.22</v>
      </c>
      <c r="L186" s="15" t="n"/>
      <c r="M186" s="15" t="inlineStr"/>
      <c r="N186" s="15" t="inlineStr"/>
    </row>
    <row r="187">
      <c r="A187" s="13" t="n">
        <v>46167</v>
      </c>
      <c r="B187" s="14">
        <f>ISOWEEKNUM(A187)</f>
        <v/>
      </c>
      <c r="C187" s="13">
        <f>A187-WEEKDAY(A187,2)+1</f>
        <v/>
      </c>
      <c r="D187" s="14">
        <f>TEXT(A187,"mmm yyyy")</f>
        <v/>
      </c>
      <c r="E187" s="14" t="inlineStr">
        <is>
          <t>In</t>
        </is>
      </c>
      <c r="F187" s="14" t="inlineStr">
        <is>
          <t>Money added Stripe S5S7Q8</t>
        </is>
      </c>
      <c r="G187" s="14" t="inlineStr">
        <is>
          <t>Stripe</t>
        </is>
      </c>
      <c r="H187" s="14" t="inlineStr">
        <is>
          <t>Omzet</t>
        </is>
      </c>
      <c r="I187" s="14" t="inlineStr">
        <is>
          <t>Zakelijk</t>
        </is>
      </c>
      <c r="J187" s="14" t="inlineStr">
        <is>
          <t>Nee</t>
        </is>
      </c>
      <c r="K187" s="15" t="n"/>
      <c r="L187" s="16" t="n">
        <v>1471.73</v>
      </c>
      <c r="M187" s="15" t="inlineStr"/>
      <c r="N187" s="14" t="inlineStr"/>
    </row>
    <row r="188">
      <c r="A188" s="13" t="n">
        <v>46167</v>
      </c>
      <c r="B188" s="14">
        <f>ISOWEEKNUM(A188)</f>
        <v/>
      </c>
      <c r="C188" s="13">
        <f>A188-WEEKDAY(A188,2)+1</f>
        <v/>
      </c>
      <c r="D188" s="14">
        <f>TEXT(A188,"mmm yyyy")</f>
        <v/>
      </c>
      <c r="E188" s="14" t="inlineStr">
        <is>
          <t>In</t>
        </is>
      </c>
      <c r="F188" s="14" t="inlineStr">
        <is>
          <t>From Talat U</t>
        </is>
      </c>
      <c r="G188" s="14" t="inlineStr">
        <is>
          <t>Talat</t>
        </is>
      </c>
      <c r="H188" s="14" t="inlineStr">
        <is>
          <t>Eigen inleg</t>
        </is>
      </c>
      <c r="I188" s="14" t="inlineStr">
        <is>
          <t>Prive</t>
        </is>
      </c>
      <c r="J188" s="14" t="inlineStr">
        <is>
          <t>Inleg/terugbetaling</t>
        </is>
      </c>
      <c r="K188" s="15" t="n"/>
      <c r="L188" s="16" t="n">
        <v>40</v>
      </c>
      <c r="M188" s="15" t="inlineStr"/>
      <c r="N188" s="14" t="inlineStr"/>
    </row>
    <row r="189">
      <c r="A189" s="13" t="n">
        <v>46166</v>
      </c>
      <c r="B189" s="14">
        <f>ISOWEEKNUM(A189)</f>
        <v/>
      </c>
      <c r="C189" s="13">
        <f>A189-WEEKDAY(A189,2)+1</f>
        <v/>
      </c>
      <c r="D189" s="14">
        <f>TEXT(A189,"mmm yyyy")</f>
        <v/>
      </c>
      <c r="E189" s="14" t="inlineStr">
        <is>
          <t>In</t>
        </is>
      </c>
      <c r="F189" s="14" t="inlineStr">
        <is>
          <t>From Talat U</t>
        </is>
      </c>
      <c r="G189" s="14" t="inlineStr">
        <is>
          <t>Talat</t>
        </is>
      </c>
      <c r="H189" s="14" t="inlineStr">
        <is>
          <t>Eigen inleg</t>
        </is>
      </c>
      <c r="I189" s="14" t="inlineStr">
        <is>
          <t>Prive</t>
        </is>
      </c>
      <c r="J189" s="14" t="inlineStr">
        <is>
          <t>Inleg/terugbetaling</t>
        </is>
      </c>
      <c r="K189" s="15" t="n"/>
      <c r="L189" s="16" t="n">
        <v>40</v>
      </c>
      <c r="M189" s="15" t="inlineStr"/>
      <c r="N189" s="14" t="inlineStr"/>
    </row>
    <row r="190">
      <c r="A190" s="17" t="n">
        <v>46166</v>
      </c>
      <c r="B190" s="15">
        <f>ISOWEEKNUM(A190)</f>
        <v/>
      </c>
      <c r="C190" s="17">
        <f>A190-WEEKDAY(A190,2)+1</f>
        <v/>
      </c>
      <c r="D190" s="15">
        <f>TEXT(A190,"mmm yyyy")</f>
        <v/>
      </c>
      <c r="E190" s="15" t="inlineStr">
        <is>
          <t>Uit</t>
        </is>
      </c>
      <c r="F190" s="15" t="inlineStr">
        <is>
          <t>Oxylabs Oxylabs</t>
        </is>
      </c>
      <c r="G190" s="15" t="inlineStr">
        <is>
          <t>Oxylabs</t>
        </is>
      </c>
      <c r="H190" s="15" t="inlineStr">
        <is>
          <t>Software &amp; Tools</t>
        </is>
      </c>
      <c r="I190" s="15" t="inlineStr">
        <is>
          <t>Zakelijk</t>
        </is>
      </c>
      <c r="J190" s="15" t="inlineStr">
        <is>
          <t>Nee</t>
        </is>
      </c>
      <c r="K190" s="18" t="n">
        <v>12.66</v>
      </c>
      <c r="L190" s="15" t="n"/>
      <c r="M190" s="15" t="inlineStr">
        <is>
          <t>$14.52</t>
        </is>
      </c>
      <c r="N190" s="15" t="inlineStr"/>
    </row>
    <row r="191">
      <c r="A191" s="10" t="n">
        <v>46166</v>
      </c>
      <c r="B191" s="11">
        <f>ISOWEEKNUM(A191)</f>
        <v/>
      </c>
      <c r="C191" s="10">
        <f>A191-WEEKDAY(A191,2)+1</f>
        <v/>
      </c>
      <c r="D191" s="11">
        <f>TEXT(A191,"mmm yyyy")</f>
        <v/>
      </c>
      <c r="E191" s="11" t="inlineStr">
        <is>
          <t>Uit</t>
        </is>
      </c>
      <c r="F191" s="11" t="inlineStr">
        <is>
          <t>Easyparknlcom</t>
        </is>
      </c>
      <c r="G191" s="11" t="inlineStr">
        <is>
          <t>Easypark</t>
        </is>
      </c>
      <c r="H191" s="11" t="inlineStr">
        <is>
          <t>Parkeren</t>
        </is>
      </c>
      <c r="I191" s="11" t="inlineStr">
        <is>
          <t>Prive</t>
        </is>
      </c>
      <c r="J191" s="11" t="inlineStr">
        <is>
          <t>Ja</t>
        </is>
      </c>
      <c r="K191" s="12" t="n">
        <v>13.95</v>
      </c>
      <c r="L191" s="11" t="n"/>
      <c r="M191" s="11" t="inlineStr"/>
      <c r="N191" s="11" t="inlineStr"/>
    </row>
    <row r="192">
      <c r="A192" s="17" t="n">
        <v>46166</v>
      </c>
      <c r="B192" s="15">
        <f>ISOWEEKNUM(A192)</f>
        <v/>
      </c>
      <c r="C192" s="17">
        <f>A192-WEEKDAY(A192,2)+1</f>
        <v/>
      </c>
      <c r="D192" s="15">
        <f>TEXT(A192,"mmm yyyy")</f>
        <v/>
      </c>
      <c r="E192" s="15" t="inlineStr">
        <is>
          <t>Uit</t>
        </is>
      </c>
      <c r="F192" s="15" t="inlineStr">
        <is>
          <t>Checkify.pro Subs Fees</t>
        </is>
      </c>
      <c r="G192" s="15" t="inlineStr">
        <is>
          <t>Checkify.pro</t>
        </is>
      </c>
      <c r="H192" s="15" t="inlineStr">
        <is>
          <t>Software &amp; Tools</t>
        </is>
      </c>
      <c r="I192" s="15" t="inlineStr">
        <is>
          <t>Zakelijk</t>
        </is>
      </c>
      <c r="J192" s="15" t="inlineStr">
        <is>
          <t>Nee</t>
        </is>
      </c>
      <c r="K192" s="18" t="n">
        <v>25.14</v>
      </c>
      <c r="L192" s="15" t="n"/>
      <c r="M192" s="15" t="inlineStr"/>
      <c r="N192" s="15" t="inlineStr"/>
    </row>
    <row r="193">
      <c r="A193" s="17" t="n">
        <v>46165</v>
      </c>
      <c r="B193" s="15">
        <f>ISOWEEKNUM(A193)</f>
        <v/>
      </c>
      <c r="C193" s="17">
        <f>A193-WEEKDAY(A193,2)+1</f>
        <v/>
      </c>
      <c r="D193" s="15">
        <f>TEXT(A193,"mmm yyyy")</f>
        <v/>
      </c>
      <c r="E193" s="15" t="inlineStr">
        <is>
          <t>Uit</t>
        </is>
      </c>
      <c r="F193" s="15" t="inlineStr">
        <is>
          <t>To CC Ecommerce 0722</t>
        </is>
      </c>
      <c r="G193" s="15" t="inlineStr">
        <is>
          <t>CC Ecommerce Solutions</t>
        </is>
      </c>
      <c r="H193" s="15" t="inlineStr">
        <is>
          <t>Voorraad/Leverancier</t>
        </is>
      </c>
      <c r="I193" s="15" t="inlineStr">
        <is>
          <t>Zakelijk</t>
        </is>
      </c>
      <c r="J193" s="15" t="inlineStr">
        <is>
          <t>Nee</t>
        </is>
      </c>
      <c r="K193" s="18" t="n">
        <v>1800</v>
      </c>
      <c r="L193" s="15" t="n"/>
      <c r="M193" s="15" t="inlineStr"/>
      <c r="N193" s="15" t="inlineStr"/>
    </row>
    <row r="194">
      <c r="A194" s="17" t="n">
        <v>46165</v>
      </c>
      <c r="B194" s="15">
        <f>ISOWEEKNUM(A194)</f>
        <v/>
      </c>
      <c r="C194" s="17">
        <f>A194-WEEKDAY(A194,2)+1</f>
        <v/>
      </c>
      <c r="D194" s="15">
        <f>TEXT(A194,"mmm yyyy")</f>
        <v/>
      </c>
      <c r="E194" s="15" t="inlineStr">
        <is>
          <t>Uit</t>
        </is>
      </c>
      <c r="F194" s="15" t="inlineStr">
        <is>
          <t>Paypal it Service</t>
        </is>
      </c>
      <c r="G194" s="15" t="inlineStr">
        <is>
          <t>PayPal</t>
        </is>
      </c>
      <c r="H194" s="15" t="inlineStr">
        <is>
          <t>Software &amp; Tools</t>
        </is>
      </c>
      <c r="I194" s="15" t="inlineStr">
        <is>
          <t>Zakelijk</t>
        </is>
      </c>
      <c r="J194" s="15" t="inlineStr">
        <is>
          <t>Nee</t>
        </is>
      </c>
      <c r="K194" s="18" t="n">
        <v>2.58</v>
      </c>
      <c r="L194" s="15" t="n"/>
      <c r="M194" s="15" t="inlineStr">
        <is>
          <t>$2.99</t>
        </is>
      </c>
      <c r="N194" s="15" t="inlineStr"/>
    </row>
    <row r="195">
      <c r="A195" s="17" t="n">
        <v>46165</v>
      </c>
      <c r="B195" s="15">
        <f>ISOWEEKNUM(A195)</f>
        <v/>
      </c>
      <c r="C195" s="17">
        <f>A195-WEEKDAY(A195,2)+1</f>
        <v/>
      </c>
      <c r="D195" s="15">
        <f>TEXT(A195,"mmm yyyy")</f>
        <v/>
      </c>
      <c r="E195" s="15" t="inlineStr">
        <is>
          <t>Uit</t>
        </is>
      </c>
      <c r="F195" s="15" t="inlineStr">
        <is>
          <t>Higgsfield Inc</t>
        </is>
      </c>
      <c r="G195" s="15" t="inlineStr">
        <is>
          <t>Higgsfield</t>
        </is>
      </c>
      <c r="H195" s="15" t="inlineStr">
        <is>
          <t>Software &amp; Tools</t>
        </is>
      </c>
      <c r="I195" s="15" t="inlineStr">
        <is>
          <t>Zakelijk</t>
        </is>
      </c>
      <c r="J195" s="15" t="inlineStr">
        <is>
          <t>Nee</t>
        </is>
      </c>
      <c r="K195" s="18" t="n">
        <v>30.67</v>
      </c>
      <c r="L195" s="15" t="n"/>
      <c r="M195" s="15" t="inlineStr">
        <is>
          <t>$35.59</t>
        </is>
      </c>
      <c r="N195" s="15" t="inlineStr"/>
    </row>
    <row r="196">
      <c r="A196" s="17" t="n">
        <v>46165</v>
      </c>
      <c r="B196" s="15">
        <f>ISOWEEKNUM(A196)</f>
        <v/>
      </c>
      <c r="C196" s="17">
        <f>A196-WEEKDAY(A196,2)+1</f>
        <v/>
      </c>
      <c r="D196" s="15">
        <f>TEXT(A196,"mmm yyyy")</f>
        <v/>
      </c>
      <c r="E196" s="15" t="inlineStr">
        <is>
          <t>Uit</t>
        </is>
      </c>
      <c r="F196" s="15" t="inlineStr">
        <is>
          <t>Commentguard.io</t>
        </is>
      </c>
      <c r="G196" s="15" t="inlineStr">
        <is>
          <t>Commentguard</t>
        </is>
      </c>
      <c r="H196" s="15" t="inlineStr">
        <is>
          <t>Software &amp; Tools</t>
        </is>
      </c>
      <c r="I196" s="15" t="inlineStr">
        <is>
          <t>Zakelijk</t>
        </is>
      </c>
      <c r="J196" s="15" t="inlineStr">
        <is>
          <t>Nee</t>
        </is>
      </c>
      <c r="K196" s="18" t="n">
        <v>30.26</v>
      </c>
      <c r="L196" s="15" t="n"/>
      <c r="M196" s="15" t="inlineStr">
        <is>
          <t>$35.09</t>
        </is>
      </c>
      <c r="N196" s="15" t="inlineStr"/>
    </row>
    <row r="197">
      <c r="A197" s="17" t="n">
        <v>46164</v>
      </c>
      <c r="B197" s="15">
        <f>ISOWEEKNUM(A197)</f>
        <v/>
      </c>
      <c r="C197" s="17">
        <f>A197-WEEKDAY(A197,2)+1</f>
        <v/>
      </c>
      <c r="D197" s="15">
        <f>TEXT(A197,"mmm yyyy")</f>
        <v/>
      </c>
      <c r="E197" s="15" t="inlineStr">
        <is>
          <t>Uit</t>
        </is>
      </c>
      <c r="F197" s="15" t="inlineStr">
        <is>
          <t>Oxylabs Oxylabs</t>
        </is>
      </c>
      <c r="G197" s="15" t="inlineStr">
        <is>
          <t>Oxylabs</t>
        </is>
      </c>
      <c r="H197" s="15" t="inlineStr">
        <is>
          <t>Software &amp; Tools</t>
        </is>
      </c>
      <c r="I197" s="15" t="inlineStr">
        <is>
          <t>Zakelijk</t>
        </is>
      </c>
      <c r="J197" s="15" t="inlineStr">
        <is>
          <t>Nee</t>
        </is>
      </c>
      <c r="K197" s="18" t="n">
        <v>12.51</v>
      </c>
      <c r="L197" s="15" t="n"/>
      <c r="M197" s="15" t="inlineStr">
        <is>
          <t>$14.52</t>
        </is>
      </c>
      <c r="N197" s="15" t="inlineStr"/>
    </row>
    <row r="198">
      <c r="A198" s="17" t="n">
        <v>46164</v>
      </c>
      <c r="B198" s="15">
        <f>ISOWEEKNUM(A198)</f>
        <v/>
      </c>
      <c r="C198" s="17">
        <f>A198-WEEKDAY(A198,2)+1</f>
        <v/>
      </c>
      <c r="D198" s="15">
        <f>TEXT(A198,"mmm yyyy")</f>
        <v/>
      </c>
      <c r="E198" s="15" t="inlineStr">
        <is>
          <t>Uit</t>
        </is>
      </c>
      <c r="F198" s="15" t="inlineStr">
        <is>
          <t>Checkify.pro Subs Fees</t>
        </is>
      </c>
      <c r="G198" s="15" t="inlineStr">
        <is>
          <t>Checkify.pro</t>
        </is>
      </c>
      <c r="H198" s="15" t="inlineStr">
        <is>
          <t>Software &amp; Tools</t>
        </is>
      </c>
      <c r="I198" s="15" t="inlineStr">
        <is>
          <t>Zakelijk</t>
        </is>
      </c>
      <c r="J198" s="15" t="inlineStr">
        <is>
          <t>Nee</t>
        </is>
      </c>
      <c r="K198" s="18" t="n">
        <v>25.07</v>
      </c>
      <c r="L198" s="15" t="n"/>
      <c r="M198" s="15" t="inlineStr"/>
      <c r="N198" s="15" t="inlineStr"/>
    </row>
    <row r="199">
      <c r="A199" s="17" t="n">
        <v>46164</v>
      </c>
      <c r="B199" s="15">
        <f>ISOWEEKNUM(A199)</f>
        <v/>
      </c>
      <c r="C199" s="17">
        <f>A199-WEEKDAY(A199,2)+1</f>
        <v/>
      </c>
      <c r="D199" s="15">
        <f>TEXT(A199,"mmm yyyy")</f>
        <v/>
      </c>
      <c r="E199" s="15" t="inlineStr">
        <is>
          <t>Uit</t>
        </is>
      </c>
      <c r="F199" s="15" t="inlineStr">
        <is>
          <t>Apple.com/bill</t>
        </is>
      </c>
      <c r="G199" s="15" t="inlineStr">
        <is>
          <t>Apple</t>
        </is>
      </c>
      <c r="H199" s="15" t="inlineStr">
        <is>
          <t>Software &amp; Tools</t>
        </is>
      </c>
      <c r="I199" s="15" t="inlineStr">
        <is>
          <t>Zakelijk</t>
        </is>
      </c>
      <c r="J199" s="15" t="inlineStr">
        <is>
          <t>Nee</t>
        </is>
      </c>
      <c r="K199" s="18" t="n">
        <v>10</v>
      </c>
      <c r="L199" s="15" t="n"/>
      <c r="M199" s="15" t="inlineStr"/>
      <c r="N199" s="15" t="inlineStr">
        <is>
          <t>Check prive</t>
        </is>
      </c>
    </row>
    <row r="200">
      <c r="A200" s="13" t="n">
        <v>46164</v>
      </c>
      <c r="B200" s="14">
        <f>ISOWEEKNUM(A200)</f>
        <v/>
      </c>
      <c r="C200" s="13">
        <f>A200-WEEKDAY(A200,2)+1</f>
        <v/>
      </c>
      <c r="D200" s="14">
        <f>TEXT(A200,"mmm yyyy")</f>
        <v/>
      </c>
      <c r="E200" s="14" t="inlineStr">
        <is>
          <t>In</t>
        </is>
      </c>
      <c r="F200" s="14" t="inlineStr">
        <is>
          <t>Money added Stripe W2I7W4</t>
        </is>
      </c>
      <c r="G200" s="14" t="inlineStr">
        <is>
          <t>Stripe</t>
        </is>
      </c>
      <c r="H200" s="14" t="inlineStr">
        <is>
          <t>Omzet</t>
        </is>
      </c>
      <c r="I200" s="14" t="inlineStr">
        <is>
          <t>Zakelijk</t>
        </is>
      </c>
      <c r="J200" s="14" t="inlineStr">
        <is>
          <t>Nee</t>
        </is>
      </c>
      <c r="K200" s="15" t="n"/>
      <c r="L200" s="16" t="n">
        <v>1979.62</v>
      </c>
      <c r="M200" s="15" t="inlineStr"/>
      <c r="N200" s="14" t="inlineStr"/>
    </row>
    <row r="201">
      <c r="A201" s="10" t="n">
        <v>46163</v>
      </c>
      <c r="B201" s="11">
        <f>ISOWEEKNUM(A201)</f>
        <v/>
      </c>
      <c r="C201" s="10">
        <f>A201-WEEKDAY(A201,2)+1</f>
        <v/>
      </c>
      <c r="D201" s="11">
        <f>TEXT(A201,"mmm yyyy")</f>
        <v/>
      </c>
      <c r="E201" s="11" t="inlineStr">
        <is>
          <t>Uit</t>
        </is>
      </c>
      <c r="F201" s="11" t="inlineStr">
        <is>
          <t>Moonpay exodus 9409</t>
        </is>
      </c>
      <c r="G201" s="11" t="inlineStr">
        <is>
          <t>Moonpay</t>
        </is>
      </c>
      <c r="H201" s="11" t="inlineStr">
        <is>
          <t>Crypto</t>
        </is>
      </c>
      <c r="I201" s="11" t="inlineStr">
        <is>
          <t>Prive</t>
        </is>
      </c>
      <c r="J201" s="11" t="inlineStr">
        <is>
          <t>Ja</t>
        </is>
      </c>
      <c r="K201" s="12" t="n">
        <v>43.08</v>
      </c>
      <c r="L201" s="11" t="n"/>
      <c r="M201" s="11" t="inlineStr">
        <is>
          <t>$50.00</t>
        </is>
      </c>
      <c r="N201" s="11" t="inlineStr">
        <is>
          <t>Crypto - verifieer</t>
        </is>
      </c>
    </row>
    <row r="202">
      <c r="A202" s="17" t="n">
        <v>46163</v>
      </c>
      <c r="B202" s="15">
        <f>ISOWEEKNUM(A202)</f>
        <v/>
      </c>
      <c r="C202" s="17">
        <f>A202-WEEKDAY(A202,2)+1</f>
        <v/>
      </c>
      <c r="D202" s="15">
        <f>TEXT(A202,"mmm yyyy")</f>
        <v/>
      </c>
      <c r="E202" s="15" t="inlineStr">
        <is>
          <t>Uit</t>
        </is>
      </c>
      <c r="F202" s="15" t="inlineStr">
        <is>
          <t>Higgsfield Inc</t>
        </is>
      </c>
      <c r="G202" s="15" t="inlineStr">
        <is>
          <t>Higgsfield</t>
        </is>
      </c>
      <c r="H202" s="15" t="inlineStr">
        <is>
          <t>Software &amp; Tools</t>
        </is>
      </c>
      <c r="I202" s="15" t="inlineStr">
        <is>
          <t>Zakelijk</t>
        </is>
      </c>
      <c r="J202" s="15" t="inlineStr">
        <is>
          <t>Nee</t>
        </is>
      </c>
      <c r="K202" s="18" t="n">
        <v>12.25</v>
      </c>
      <c r="L202" s="15" t="n"/>
      <c r="M202" s="15" t="inlineStr">
        <is>
          <t>$14.23</t>
        </is>
      </c>
      <c r="N202" s="15" t="inlineStr"/>
    </row>
    <row r="203">
      <c r="A203" s="17" t="n">
        <v>46163</v>
      </c>
      <c r="B203" s="15">
        <f>ISOWEEKNUM(A203)</f>
        <v/>
      </c>
      <c r="C203" s="17">
        <f>A203-WEEKDAY(A203,2)+1</f>
        <v/>
      </c>
      <c r="D203" s="15">
        <f>TEXT(A203,"mmm yyyy")</f>
        <v/>
      </c>
      <c r="E203" s="15" t="inlineStr">
        <is>
          <t>Uit</t>
        </is>
      </c>
      <c r="F203" s="15" t="inlineStr">
        <is>
          <t>To CC Ecommerce 0722</t>
        </is>
      </c>
      <c r="G203" s="15" t="inlineStr">
        <is>
          <t>CC Ecommerce Solutions</t>
        </is>
      </c>
      <c r="H203" s="15" t="inlineStr">
        <is>
          <t>Voorraad/Leverancier</t>
        </is>
      </c>
      <c r="I203" s="15" t="inlineStr">
        <is>
          <t>Zakelijk</t>
        </is>
      </c>
      <c r="J203" s="15" t="inlineStr">
        <is>
          <t>Nee</t>
        </is>
      </c>
      <c r="K203" s="18" t="n">
        <v>3400</v>
      </c>
      <c r="L203" s="15" t="n"/>
      <c r="M203" s="15" t="inlineStr"/>
      <c r="N203" s="15" t="inlineStr"/>
    </row>
    <row r="204">
      <c r="A204" s="10" t="n">
        <v>46163</v>
      </c>
      <c r="B204" s="11">
        <f>ISOWEEKNUM(A204)</f>
        <v/>
      </c>
      <c r="C204" s="10">
        <f>A204-WEEKDAY(A204,2)+1</f>
        <v/>
      </c>
      <c r="D204" s="11">
        <f>TEXT(A204,"mmm yyyy")</f>
        <v/>
      </c>
      <c r="E204" s="11" t="inlineStr">
        <is>
          <t>Uit</t>
        </is>
      </c>
      <c r="F204" s="11" t="inlineStr">
        <is>
          <t>Easyparknlcom</t>
        </is>
      </c>
      <c r="G204" s="11" t="inlineStr">
        <is>
          <t>Easypark</t>
        </is>
      </c>
      <c r="H204" s="11" t="inlineStr">
        <is>
          <t>Parkeren</t>
        </is>
      </c>
      <c r="I204" s="11" t="inlineStr">
        <is>
          <t>Prive</t>
        </is>
      </c>
      <c r="J204" s="11" t="inlineStr">
        <is>
          <t>Ja</t>
        </is>
      </c>
      <c r="K204" s="12" t="n">
        <v>4.3</v>
      </c>
      <c r="L204" s="11" t="n"/>
      <c r="M204" s="11" t="inlineStr"/>
      <c r="N204" s="11" t="inlineStr"/>
    </row>
    <row r="205">
      <c r="A205" s="13" t="n">
        <v>46163</v>
      </c>
      <c r="B205" s="14">
        <f>ISOWEEKNUM(A205)</f>
        <v/>
      </c>
      <c r="C205" s="13">
        <f>A205-WEEKDAY(A205,2)+1</f>
        <v/>
      </c>
      <c r="D205" s="14">
        <f>TEXT(A205,"mmm yyyy")</f>
        <v/>
      </c>
      <c r="E205" s="14" t="inlineStr">
        <is>
          <t>In</t>
        </is>
      </c>
      <c r="F205" s="14" t="inlineStr">
        <is>
          <t>Money added Stripe D9J3M8</t>
        </is>
      </c>
      <c r="G205" s="14" t="inlineStr">
        <is>
          <t>Stripe</t>
        </is>
      </c>
      <c r="H205" s="14" t="inlineStr">
        <is>
          <t>Omzet</t>
        </is>
      </c>
      <c r="I205" s="14" t="inlineStr">
        <is>
          <t>Zakelijk</t>
        </is>
      </c>
      <c r="J205" s="14" t="inlineStr">
        <is>
          <t>Nee</t>
        </is>
      </c>
      <c r="K205" s="15" t="n"/>
      <c r="L205" s="16" t="n">
        <v>3443.19</v>
      </c>
      <c r="M205" s="15" t="inlineStr"/>
      <c r="N205" s="14" t="inlineStr"/>
    </row>
    <row r="206">
      <c r="A206" s="13" t="n">
        <v>46163</v>
      </c>
      <c r="B206" s="14">
        <f>ISOWEEKNUM(A206)</f>
        <v/>
      </c>
      <c r="C206" s="13">
        <f>A206-WEEKDAY(A206,2)+1</f>
        <v/>
      </c>
      <c r="D206" s="14">
        <f>TEXT(A206,"mmm yyyy")</f>
        <v/>
      </c>
      <c r="E206" s="14" t="inlineStr">
        <is>
          <t>In</t>
        </is>
      </c>
      <c r="F206" s="14" t="inlineStr">
        <is>
          <t>From Talat U</t>
        </is>
      </c>
      <c r="G206" s="14" t="inlineStr">
        <is>
          <t>Talat</t>
        </is>
      </c>
      <c r="H206" s="14" t="inlineStr">
        <is>
          <t>Eigen inleg</t>
        </is>
      </c>
      <c r="I206" s="14" t="inlineStr">
        <is>
          <t>Prive</t>
        </is>
      </c>
      <c r="J206" s="14" t="inlineStr">
        <is>
          <t>Inleg/terugbetaling</t>
        </is>
      </c>
      <c r="K206" s="15" t="n"/>
      <c r="L206" s="16" t="n">
        <v>20</v>
      </c>
      <c r="M206" s="15" t="inlineStr"/>
      <c r="N206" s="14" t="inlineStr"/>
    </row>
    <row r="207">
      <c r="A207" s="17" t="n">
        <v>46162</v>
      </c>
      <c r="B207" s="15">
        <f>ISOWEEKNUM(A207)</f>
        <v/>
      </c>
      <c r="C207" s="17">
        <f>A207-WEEKDAY(A207,2)+1</f>
        <v/>
      </c>
      <c r="D207" s="15">
        <f>TEXT(A207,"mmm yyyy")</f>
        <v/>
      </c>
      <c r="E207" s="15" t="inlineStr">
        <is>
          <t>Uit</t>
        </is>
      </c>
      <c r="F207" s="15" t="inlineStr">
        <is>
          <t>To CC Ecommerce 0722</t>
        </is>
      </c>
      <c r="G207" s="15" t="inlineStr">
        <is>
          <t>CC Ecommerce Solutions</t>
        </is>
      </c>
      <c r="H207" s="15" t="inlineStr">
        <is>
          <t>Voorraad/Leverancier</t>
        </is>
      </c>
      <c r="I207" s="15" t="inlineStr">
        <is>
          <t>Zakelijk</t>
        </is>
      </c>
      <c r="J207" s="15" t="inlineStr">
        <is>
          <t>Nee</t>
        </is>
      </c>
      <c r="K207" s="18" t="n">
        <v>600</v>
      </c>
      <c r="L207" s="15" t="n"/>
      <c r="M207" s="15" t="inlineStr"/>
      <c r="N207" s="15" t="inlineStr"/>
    </row>
    <row r="208">
      <c r="A208" s="17" t="n">
        <v>46162</v>
      </c>
      <c r="B208" s="15">
        <f>ISOWEEKNUM(A208)</f>
        <v/>
      </c>
      <c r="C208" s="17">
        <f>A208-WEEKDAY(A208,2)+1</f>
        <v/>
      </c>
      <c r="D208" s="15">
        <f>TEXT(A208,"mmm yyyy")</f>
        <v/>
      </c>
      <c r="E208" s="15" t="inlineStr">
        <is>
          <t>Uit</t>
        </is>
      </c>
      <c r="F208" s="15" t="inlineStr">
        <is>
          <t>Klaviyo Inc Software</t>
        </is>
      </c>
      <c r="G208" s="15" t="inlineStr">
        <is>
          <t>Klaviyo</t>
        </is>
      </c>
      <c r="H208" s="15" t="inlineStr">
        <is>
          <t>Software &amp; Tools</t>
        </is>
      </c>
      <c r="I208" s="15" t="inlineStr">
        <is>
          <t>Zakelijk</t>
        </is>
      </c>
      <c r="J208" s="15" t="inlineStr">
        <is>
          <t>Nee</t>
        </is>
      </c>
      <c r="K208" s="18" t="n">
        <v>8.630000000000001</v>
      </c>
      <c r="L208" s="15" t="n"/>
      <c r="M208" s="15" t="inlineStr">
        <is>
          <t>$10.00</t>
        </is>
      </c>
      <c r="N208" s="15" t="inlineStr"/>
    </row>
    <row r="209">
      <c r="A209" s="13" t="n">
        <v>46162</v>
      </c>
      <c r="B209" s="14">
        <f>ISOWEEKNUM(A209)</f>
        <v/>
      </c>
      <c r="C209" s="13">
        <f>A209-WEEKDAY(A209,2)+1</f>
        <v/>
      </c>
      <c r="D209" s="14">
        <f>TEXT(A209,"mmm yyyy")</f>
        <v/>
      </c>
      <c r="E209" s="14" t="inlineStr">
        <is>
          <t>In</t>
        </is>
      </c>
      <c r="F209" s="14" t="inlineStr">
        <is>
          <t>From Talat U</t>
        </is>
      </c>
      <c r="G209" s="14" t="inlineStr">
        <is>
          <t>Talat</t>
        </is>
      </c>
      <c r="H209" s="14" t="inlineStr">
        <is>
          <t>Eigen inleg</t>
        </is>
      </c>
      <c r="I209" s="14" t="inlineStr">
        <is>
          <t>Prive</t>
        </is>
      </c>
      <c r="J209" s="14" t="inlineStr">
        <is>
          <t>Inleg/terugbetaling</t>
        </is>
      </c>
      <c r="K209" s="15" t="n"/>
      <c r="L209" s="16" t="n">
        <v>10</v>
      </c>
      <c r="M209" s="15" t="inlineStr"/>
      <c r="N209" s="14" t="inlineStr"/>
    </row>
    <row r="210">
      <c r="A210" s="10" t="n">
        <v>46162</v>
      </c>
      <c r="B210" s="11">
        <f>ISOWEEKNUM(A210)</f>
        <v/>
      </c>
      <c r="C210" s="10">
        <f>A210-WEEKDAY(A210,2)+1</f>
        <v/>
      </c>
      <c r="D210" s="11">
        <f>TEXT(A210,"mmm yyyy")</f>
        <v/>
      </c>
      <c r="E210" s="11" t="inlineStr">
        <is>
          <t>Uit</t>
        </is>
      </c>
      <c r="F210" s="11" t="inlineStr">
        <is>
          <t>Lidl 580 Maarssenbroek</t>
        </is>
      </c>
      <c r="G210" s="11" t="inlineStr">
        <is>
          <t>Lidl</t>
        </is>
      </c>
      <c r="H210" s="11" t="inlineStr">
        <is>
          <t>Boodschappen</t>
        </is>
      </c>
      <c r="I210" s="11" t="inlineStr">
        <is>
          <t>Prive</t>
        </is>
      </c>
      <c r="J210" s="11" t="inlineStr">
        <is>
          <t>Ja</t>
        </is>
      </c>
      <c r="K210" s="12" t="n">
        <v>15.74</v>
      </c>
      <c r="L210" s="11" t="n"/>
      <c r="M210" s="11" t="inlineStr"/>
      <c r="N210" s="11" t="inlineStr"/>
    </row>
    <row r="211">
      <c r="A211" s="10" t="n">
        <v>46162</v>
      </c>
      <c r="B211" s="11">
        <f>ISOWEEKNUM(A211)</f>
        <v/>
      </c>
      <c r="C211" s="10">
        <f>A211-WEEKDAY(A211,2)+1</f>
        <v/>
      </c>
      <c r="D211" s="11">
        <f>TEXT(A211,"mmm yyyy")</f>
        <v/>
      </c>
      <c r="E211" s="11" t="inlineStr">
        <is>
          <t>Uit</t>
        </is>
      </c>
      <c r="F211" s="11" t="inlineStr">
        <is>
          <t>Shell Ruimteweg Nl 0601</t>
        </is>
      </c>
      <c r="G211" s="11" t="inlineStr">
        <is>
          <t>Shell</t>
        </is>
      </c>
      <c r="H211" s="11" t="inlineStr">
        <is>
          <t>Brandstof</t>
        </is>
      </c>
      <c r="I211" s="11" t="inlineStr">
        <is>
          <t>Prive</t>
        </is>
      </c>
      <c r="J211" s="11" t="inlineStr">
        <is>
          <t>Ja</t>
        </is>
      </c>
      <c r="K211" s="12" t="n">
        <v>15</v>
      </c>
      <c r="L211" s="11" t="n"/>
      <c r="M211" s="11" t="inlineStr"/>
      <c r="N211" s="11" t="inlineStr"/>
    </row>
    <row r="212">
      <c r="A212" s="17" t="n">
        <v>46162</v>
      </c>
      <c r="B212" s="15">
        <f>ISOWEEKNUM(A212)</f>
        <v/>
      </c>
      <c r="C212" s="17">
        <f>A212-WEEKDAY(A212,2)+1</f>
        <v/>
      </c>
      <c r="D212" s="15">
        <f>TEXT(A212,"mmm yyyy")</f>
        <v/>
      </c>
      <c r="E212" s="15" t="inlineStr">
        <is>
          <t>Uit</t>
        </is>
      </c>
      <c r="F212" s="15" t="inlineStr">
        <is>
          <t>Checkify.pro Subs Fees</t>
        </is>
      </c>
      <c r="G212" s="15" t="inlineStr">
        <is>
          <t>Checkify.pro</t>
        </is>
      </c>
      <c r="H212" s="15" t="inlineStr">
        <is>
          <t>Software &amp; Tools</t>
        </is>
      </c>
      <c r="I212" s="15" t="inlineStr">
        <is>
          <t>Zakelijk</t>
        </is>
      </c>
      <c r="J212" s="15" t="inlineStr">
        <is>
          <t>Nee</t>
        </is>
      </c>
      <c r="K212" s="18" t="n">
        <v>25.17</v>
      </c>
      <c r="L212" s="15" t="n"/>
      <c r="M212" s="15" t="inlineStr"/>
      <c r="N212" s="15" t="inlineStr"/>
    </row>
    <row r="213">
      <c r="A213" s="17" t="n">
        <v>46162</v>
      </c>
      <c r="B213" s="15">
        <f>ISOWEEKNUM(A213)</f>
        <v/>
      </c>
      <c r="C213" s="17">
        <f>A213-WEEKDAY(A213,2)+1</f>
        <v/>
      </c>
      <c r="D213" s="15">
        <f>TEXT(A213,"mmm yyyy")</f>
        <v/>
      </c>
      <c r="E213" s="15" t="inlineStr">
        <is>
          <t>Uit</t>
        </is>
      </c>
      <c r="F213" s="15" t="inlineStr">
        <is>
          <t>Checkify Trial Over</t>
        </is>
      </c>
      <c r="G213" s="15" t="inlineStr">
        <is>
          <t>Checkify.pro</t>
        </is>
      </c>
      <c r="H213" s="15" t="inlineStr">
        <is>
          <t>Software &amp; Tools</t>
        </is>
      </c>
      <c r="I213" s="15" t="inlineStr">
        <is>
          <t>Zakelijk</t>
        </is>
      </c>
      <c r="J213" s="15" t="inlineStr">
        <is>
          <t>Nee</t>
        </is>
      </c>
      <c r="K213" s="18" t="n">
        <v>29.99</v>
      </c>
      <c r="L213" s="15" t="n"/>
      <c r="M213" s="15" t="inlineStr"/>
      <c r="N213" s="15" t="inlineStr"/>
    </row>
    <row r="214">
      <c r="A214" s="10" t="n">
        <v>46162</v>
      </c>
      <c r="B214" s="11">
        <f>ISOWEEKNUM(A214)</f>
        <v/>
      </c>
      <c r="C214" s="10">
        <f>A214-WEEKDAY(A214,2)+1</f>
        <v/>
      </c>
      <c r="D214" s="11">
        <f>TEXT(A214,"mmm yyyy")</f>
        <v/>
      </c>
      <c r="E214" s="11" t="inlineStr">
        <is>
          <t>Uit</t>
        </is>
      </c>
      <c r="F214" s="11" t="inlineStr">
        <is>
          <t>Albert Heijn 1155</t>
        </is>
      </c>
      <c r="G214" s="11" t="inlineStr">
        <is>
          <t>Albert Heijn</t>
        </is>
      </c>
      <c r="H214" s="11" t="inlineStr">
        <is>
          <t>Boodschappen</t>
        </is>
      </c>
      <c r="I214" s="11" t="inlineStr">
        <is>
          <t>Prive</t>
        </is>
      </c>
      <c r="J214" s="11" t="inlineStr">
        <is>
          <t>Ja</t>
        </is>
      </c>
      <c r="K214" s="12" t="n">
        <v>17.99</v>
      </c>
      <c r="L214" s="11" t="n"/>
      <c r="M214" s="11" t="inlineStr"/>
      <c r="N214" s="11" t="inlineStr"/>
    </row>
    <row r="215">
      <c r="A215" s="10" t="n">
        <v>46162</v>
      </c>
      <c r="B215" s="11">
        <f>ISOWEEKNUM(A215)</f>
        <v/>
      </c>
      <c r="C215" s="10">
        <f>A215-WEEKDAY(A215,2)+1</f>
        <v/>
      </c>
      <c r="D215" s="11">
        <f>TEXT(A215,"mmm yyyy")</f>
        <v/>
      </c>
      <c r="E215" s="11" t="inlineStr">
        <is>
          <t>Uit</t>
        </is>
      </c>
      <c r="F215" s="11" t="inlineStr">
        <is>
          <t>Nimet Doner</t>
        </is>
      </c>
      <c r="G215" s="11" t="inlineStr">
        <is>
          <t>Nimet Doner</t>
        </is>
      </c>
      <c r="H215" s="11" t="inlineStr">
        <is>
          <t>Eten &amp; Restaurant</t>
        </is>
      </c>
      <c r="I215" s="11" t="inlineStr">
        <is>
          <t>Prive</t>
        </is>
      </c>
      <c r="J215" s="11" t="inlineStr">
        <is>
          <t>Ja</t>
        </is>
      </c>
      <c r="K215" s="12" t="n">
        <v>9</v>
      </c>
      <c r="L215" s="11" t="n"/>
      <c r="M215" s="11" t="inlineStr"/>
      <c r="N215" s="11" t="inlineStr"/>
    </row>
    <row r="216">
      <c r="A216" s="13" t="n">
        <v>46162</v>
      </c>
      <c r="B216" s="14">
        <f>ISOWEEKNUM(A216)</f>
        <v/>
      </c>
      <c r="C216" s="13">
        <f>A216-WEEKDAY(A216,2)+1</f>
        <v/>
      </c>
      <c r="D216" s="14">
        <f>TEXT(A216,"mmm yyyy")</f>
        <v/>
      </c>
      <c r="E216" s="14" t="inlineStr">
        <is>
          <t>In</t>
        </is>
      </c>
      <c r="F216" s="14" t="inlineStr">
        <is>
          <t>Money added Stripe I9E6C7</t>
        </is>
      </c>
      <c r="G216" s="14" t="inlineStr">
        <is>
          <t>Stripe</t>
        </is>
      </c>
      <c r="H216" s="14" t="inlineStr">
        <is>
          <t>Omzet</t>
        </is>
      </c>
      <c r="I216" s="14" t="inlineStr">
        <is>
          <t>Zakelijk</t>
        </is>
      </c>
      <c r="J216" s="14" t="inlineStr">
        <is>
          <t>Nee</t>
        </is>
      </c>
      <c r="K216" s="15" t="n"/>
      <c r="L216" s="16" t="n">
        <v>388.28</v>
      </c>
      <c r="M216" s="15" t="inlineStr"/>
      <c r="N216" s="14" t="inlineStr"/>
    </row>
    <row r="217">
      <c r="A217" s="17" t="n">
        <v>46161</v>
      </c>
      <c r="B217" s="15">
        <f>ISOWEEKNUM(A217)</f>
        <v/>
      </c>
      <c r="C217" s="17">
        <f>A217-WEEKDAY(A217,2)+1</f>
        <v/>
      </c>
      <c r="D217" s="15">
        <f>TEXT(A217,"mmm yyyy")</f>
        <v/>
      </c>
      <c r="E217" s="15" t="inlineStr">
        <is>
          <t>Uit</t>
        </is>
      </c>
      <c r="F217" s="15" t="inlineStr">
        <is>
          <t>Oxylabs Oxylabs</t>
        </is>
      </c>
      <c r="G217" s="15" t="inlineStr">
        <is>
          <t>Oxylabs</t>
        </is>
      </c>
      <c r="H217" s="15" t="inlineStr">
        <is>
          <t>Software &amp; Tools</t>
        </is>
      </c>
      <c r="I217" s="15" t="inlineStr">
        <is>
          <t>Zakelijk</t>
        </is>
      </c>
      <c r="J217" s="15" t="inlineStr">
        <is>
          <t>Nee</t>
        </is>
      </c>
      <c r="K217" s="18" t="n">
        <v>18.7</v>
      </c>
      <c r="L217" s="15" t="n"/>
      <c r="M217" s="15" t="inlineStr">
        <is>
          <t>$21.78</t>
        </is>
      </c>
      <c r="N217" s="15" t="inlineStr"/>
    </row>
    <row r="218">
      <c r="A218" s="17" t="n">
        <v>46161</v>
      </c>
      <c r="B218" s="15">
        <f>ISOWEEKNUM(A218)</f>
        <v/>
      </c>
      <c r="C218" s="17">
        <f>A218-WEEKDAY(A218,2)+1</f>
        <v/>
      </c>
      <c r="D218" s="15">
        <f>TEXT(A218,"mmm yyyy")</f>
        <v/>
      </c>
      <c r="E218" s="15" t="inlineStr">
        <is>
          <t>Uit</t>
        </is>
      </c>
      <c r="F218" s="15" t="inlineStr">
        <is>
          <t>Hostnet Bv</t>
        </is>
      </c>
      <c r="G218" s="15" t="inlineStr">
        <is>
          <t>Hostnet</t>
        </is>
      </c>
      <c r="H218" s="15" t="inlineStr">
        <is>
          <t>Software &amp; Tools</t>
        </is>
      </c>
      <c r="I218" s="15" t="inlineStr">
        <is>
          <t>Zakelijk</t>
        </is>
      </c>
      <c r="J218" s="15" t="inlineStr">
        <is>
          <t>Nee</t>
        </is>
      </c>
      <c r="K218" s="18" t="n">
        <v>33.84</v>
      </c>
      <c r="L218" s="15" t="n"/>
      <c r="M218" s="15" t="inlineStr"/>
      <c r="N218" s="15" t="inlineStr"/>
    </row>
    <row r="219">
      <c r="A219" s="17" t="n">
        <v>46161</v>
      </c>
      <c r="B219" s="15">
        <f>ISOWEEKNUM(A219)</f>
        <v/>
      </c>
      <c r="C219" s="17">
        <f>A219-WEEKDAY(A219,2)+1</f>
        <v/>
      </c>
      <c r="D219" s="15">
        <f>TEXT(A219,"mmm yyyy")</f>
        <v/>
      </c>
      <c r="E219" s="15" t="inlineStr">
        <is>
          <t>Uit</t>
        </is>
      </c>
      <c r="F219" s="15" t="inlineStr">
        <is>
          <t>Checkify.pro</t>
        </is>
      </c>
      <c r="G219" s="15" t="inlineStr">
        <is>
          <t>Checkify.pro</t>
        </is>
      </c>
      <c r="H219" s="15" t="inlineStr">
        <is>
          <t>Software &amp; Tools</t>
        </is>
      </c>
      <c r="I219" s="15" t="inlineStr">
        <is>
          <t>Zakelijk</t>
        </is>
      </c>
      <c r="J219" s="15" t="inlineStr">
        <is>
          <t>Nee</t>
        </is>
      </c>
      <c r="K219" s="18" t="n">
        <v>21.77</v>
      </c>
      <c r="L219" s="15" t="n"/>
      <c r="M219" s="15" t="inlineStr"/>
      <c r="N219" s="15" t="inlineStr"/>
    </row>
    <row r="220">
      <c r="A220" s="13" t="n">
        <v>46161</v>
      </c>
      <c r="B220" s="14">
        <f>ISOWEEKNUM(A220)</f>
        <v/>
      </c>
      <c r="C220" s="13">
        <f>A220-WEEKDAY(A220,2)+1</f>
        <v/>
      </c>
      <c r="D220" s="14">
        <f>TEXT(A220,"mmm yyyy")</f>
        <v/>
      </c>
      <c r="E220" s="14" t="inlineStr">
        <is>
          <t>In</t>
        </is>
      </c>
      <c r="F220" s="14" t="inlineStr">
        <is>
          <t>Money added Stripe S3T1B7</t>
        </is>
      </c>
      <c r="G220" s="14" t="inlineStr">
        <is>
          <t>Stripe</t>
        </is>
      </c>
      <c r="H220" s="14" t="inlineStr">
        <is>
          <t>Omzet</t>
        </is>
      </c>
      <c r="I220" s="14" t="inlineStr">
        <is>
          <t>Zakelijk</t>
        </is>
      </c>
      <c r="J220" s="14" t="inlineStr">
        <is>
          <t>Nee</t>
        </is>
      </c>
      <c r="K220" s="15" t="n"/>
      <c r="L220" s="16" t="n">
        <v>218.6</v>
      </c>
      <c r="M220" s="15" t="inlineStr"/>
      <c r="N220" s="14" t="inlineStr"/>
    </row>
    <row r="221">
      <c r="A221" s="17" t="n">
        <v>46161</v>
      </c>
      <c r="B221" s="15">
        <f>ISOWEEKNUM(A221)</f>
        <v/>
      </c>
      <c r="C221" s="17">
        <f>A221-WEEKDAY(A221,2)+1</f>
        <v/>
      </c>
      <c r="D221" s="15">
        <f>TEXT(A221,"mmm yyyy")</f>
        <v/>
      </c>
      <c r="E221" s="15" t="inlineStr">
        <is>
          <t>Uit</t>
        </is>
      </c>
      <c r="F221" s="15" t="inlineStr">
        <is>
          <t>To Merkala.nl</t>
        </is>
      </c>
      <c r="G221" s="15" t="inlineStr">
        <is>
          <t>Merkala</t>
        </is>
      </c>
      <c r="H221" s="15" t="inlineStr">
        <is>
          <t>Voorraad/Leverancier</t>
        </is>
      </c>
      <c r="I221" s="15" t="inlineStr">
        <is>
          <t>Zakelijk</t>
        </is>
      </c>
      <c r="J221" s="15" t="inlineStr">
        <is>
          <t>Nee</t>
        </is>
      </c>
      <c r="K221" s="18" t="n">
        <v>21.9</v>
      </c>
      <c r="L221" s="15" t="n"/>
      <c r="M221" s="15" t="inlineStr"/>
      <c r="N221" s="15" t="inlineStr">
        <is>
          <t>Verifieer</t>
        </is>
      </c>
    </row>
    <row r="222">
      <c r="A222" s="10" t="n">
        <v>46160</v>
      </c>
      <c r="B222" s="11">
        <f>ISOWEEKNUM(A222)</f>
        <v/>
      </c>
      <c r="C222" s="10">
        <f>A222-WEEKDAY(A222,2)+1</f>
        <v/>
      </c>
      <c r="D222" s="11">
        <f>TEXT(A222,"mmm yyyy")</f>
        <v/>
      </c>
      <c r="E222" s="11" t="inlineStr">
        <is>
          <t>Uit</t>
        </is>
      </c>
      <c r="F222" s="11" t="inlineStr">
        <is>
          <t>Easyparknlcom</t>
        </is>
      </c>
      <c r="G222" s="11" t="inlineStr">
        <is>
          <t>Easypark</t>
        </is>
      </c>
      <c r="H222" s="11" t="inlineStr">
        <is>
          <t>Parkeren</t>
        </is>
      </c>
      <c r="I222" s="11" t="inlineStr">
        <is>
          <t>Prive</t>
        </is>
      </c>
      <c r="J222" s="11" t="inlineStr">
        <is>
          <t>Ja</t>
        </is>
      </c>
      <c r="K222" s="12" t="n">
        <v>4.04</v>
      </c>
      <c r="L222" s="11" t="n"/>
      <c r="M222" s="11" t="inlineStr"/>
      <c r="N222" s="11" t="inlineStr"/>
    </row>
    <row r="223">
      <c r="A223" s="13" t="n">
        <v>46160</v>
      </c>
      <c r="B223" s="14">
        <f>ISOWEEKNUM(A223)</f>
        <v/>
      </c>
      <c r="C223" s="13">
        <f>A223-WEEKDAY(A223,2)+1</f>
        <v/>
      </c>
      <c r="D223" s="14">
        <f>TEXT(A223,"mmm yyyy")</f>
        <v/>
      </c>
      <c r="E223" s="14" t="inlineStr">
        <is>
          <t>In</t>
        </is>
      </c>
      <c r="F223" s="14" t="inlineStr">
        <is>
          <t>Money added Stripe J8Z2O0</t>
        </is>
      </c>
      <c r="G223" s="14" t="inlineStr">
        <is>
          <t>Stripe</t>
        </is>
      </c>
      <c r="H223" s="14" t="inlineStr">
        <is>
          <t>Omzet</t>
        </is>
      </c>
      <c r="I223" s="14" t="inlineStr">
        <is>
          <t>Zakelijk</t>
        </is>
      </c>
      <c r="J223" s="14" t="inlineStr">
        <is>
          <t>Nee</t>
        </is>
      </c>
      <c r="K223" s="15" t="n"/>
      <c r="L223" s="16" t="n">
        <v>209.01</v>
      </c>
      <c r="M223" s="15" t="inlineStr"/>
      <c r="N223" s="14" t="inlineStr"/>
    </row>
    <row r="224">
      <c r="A224" s="10" t="n">
        <v>46160</v>
      </c>
      <c r="B224" s="11">
        <f>ISOWEEKNUM(A224)</f>
        <v/>
      </c>
      <c r="C224" s="10">
        <f>A224-WEEKDAY(A224,2)+1</f>
        <v/>
      </c>
      <c r="D224" s="11">
        <f>TEXT(A224,"mmm yyyy")</f>
        <v/>
      </c>
      <c r="E224" s="11" t="inlineStr">
        <is>
          <t>Uit</t>
        </is>
      </c>
      <c r="F224" s="11" t="inlineStr">
        <is>
          <t>To Koc via Tikkie</t>
        </is>
      </c>
      <c r="G224" s="11" t="inlineStr">
        <is>
          <t>Koc</t>
        </is>
      </c>
      <c r="H224" s="11" t="inlineStr">
        <is>
          <t>Overig</t>
        </is>
      </c>
      <c r="I224" s="11" t="inlineStr">
        <is>
          <t>Prive</t>
        </is>
      </c>
      <c r="J224" s="11" t="inlineStr">
        <is>
          <t>Ja</t>
        </is>
      </c>
      <c r="K224" s="12" t="n">
        <v>20</v>
      </c>
      <c r="L224" s="11" t="n"/>
      <c r="M224" s="11" t="inlineStr"/>
      <c r="N224" s="11" t="inlineStr">
        <is>
          <t>Tikkie - verifieer prive</t>
        </is>
      </c>
    </row>
    <row r="225">
      <c r="A225" s="17" t="n">
        <v>46158</v>
      </c>
      <c r="B225" s="15">
        <f>ISOWEEKNUM(A225)</f>
        <v/>
      </c>
      <c r="C225" s="17">
        <f>A225-WEEKDAY(A225,2)+1</f>
        <v/>
      </c>
      <c r="D225" s="15">
        <f>TEXT(A225,"mmm yyyy")</f>
        <v/>
      </c>
      <c r="E225" s="15" t="inlineStr">
        <is>
          <t>Uit</t>
        </is>
      </c>
      <c r="F225" s="15" t="inlineStr">
        <is>
          <t>Higgsfield Inc</t>
        </is>
      </c>
      <c r="G225" s="15" t="inlineStr">
        <is>
          <t>Higgsfield</t>
        </is>
      </c>
      <c r="H225" s="15" t="inlineStr">
        <is>
          <t>Software &amp; Tools</t>
        </is>
      </c>
      <c r="I225" s="15" t="inlineStr">
        <is>
          <t>Zakelijk</t>
        </is>
      </c>
      <c r="J225" s="15" t="inlineStr">
        <is>
          <t>Nee</t>
        </is>
      </c>
      <c r="K225" s="18" t="n">
        <v>12.64</v>
      </c>
      <c r="L225" s="15" t="n"/>
      <c r="M225" s="15" t="inlineStr">
        <is>
          <t>$14.52</t>
        </is>
      </c>
      <c r="N225" s="15" t="inlineStr"/>
    </row>
    <row r="226">
      <c r="A226" s="10" t="n">
        <v>46158</v>
      </c>
      <c r="B226" s="11">
        <f>ISOWEEKNUM(A226)</f>
        <v/>
      </c>
      <c r="C226" s="10">
        <f>A226-WEEKDAY(A226,2)+1</f>
        <v/>
      </c>
      <c r="D226" s="11">
        <f>TEXT(A226,"mmm yyyy")</f>
        <v/>
      </c>
      <c r="E226" s="11" t="inlineStr">
        <is>
          <t>Uit</t>
        </is>
      </c>
      <c r="F226" s="11" t="inlineStr">
        <is>
          <t>Albert Heijn 1155</t>
        </is>
      </c>
      <c r="G226" s="11" t="inlineStr">
        <is>
          <t>Albert Heijn</t>
        </is>
      </c>
      <c r="H226" s="11" t="inlineStr">
        <is>
          <t>Boodschappen</t>
        </is>
      </c>
      <c r="I226" s="11" t="inlineStr">
        <is>
          <t>Prive</t>
        </is>
      </c>
      <c r="J226" s="11" t="inlineStr">
        <is>
          <t>Ja</t>
        </is>
      </c>
      <c r="K226" s="12" t="n">
        <v>5.38</v>
      </c>
      <c r="L226" s="11" t="n"/>
      <c r="M226" s="11" t="inlineStr"/>
      <c r="N226" s="11" t="inlineStr"/>
    </row>
    <row r="227">
      <c r="A227" s="10" t="n">
        <v>46158</v>
      </c>
      <c r="B227" s="11">
        <f>ISOWEEKNUM(A227)</f>
        <v/>
      </c>
      <c r="C227" s="10">
        <f>A227-WEEKDAY(A227,2)+1</f>
        <v/>
      </c>
      <c r="D227" s="11">
        <f>TEXT(A227,"mmm yyyy")</f>
        <v/>
      </c>
      <c r="E227" s="11" t="inlineStr">
        <is>
          <t>Uit</t>
        </is>
      </c>
      <c r="F227" s="11" t="inlineStr">
        <is>
          <t>Ccv lukoil Hilversum</t>
        </is>
      </c>
      <c r="G227" s="11" t="inlineStr">
        <is>
          <t>Lukoil</t>
        </is>
      </c>
      <c r="H227" s="11" t="inlineStr">
        <is>
          <t>Brandstof</t>
        </is>
      </c>
      <c r="I227" s="11" t="inlineStr">
        <is>
          <t>Prive</t>
        </is>
      </c>
      <c r="J227" s="11" t="inlineStr">
        <is>
          <t>Ja</t>
        </is>
      </c>
      <c r="K227" s="12" t="n">
        <v>3.75</v>
      </c>
      <c r="L227" s="11" t="n"/>
      <c r="M227" s="11" t="inlineStr"/>
      <c r="N227" s="11" t="inlineStr"/>
    </row>
    <row r="228">
      <c r="A228" s="17" t="n">
        <v>46157</v>
      </c>
      <c r="B228" s="15">
        <f>ISOWEEKNUM(A228)</f>
        <v/>
      </c>
      <c r="C228" s="17">
        <f>A228-WEEKDAY(A228,2)+1</f>
        <v/>
      </c>
      <c r="D228" s="15">
        <f>TEXT(A228,"mmm yyyy")</f>
        <v/>
      </c>
      <c r="E228" s="15" t="inlineStr">
        <is>
          <t>Uit</t>
        </is>
      </c>
      <c r="F228" s="15" t="inlineStr">
        <is>
          <t>To CC Ecommerce 0722</t>
        </is>
      </c>
      <c r="G228" s="15" t="inlineStr">
        <is>
          <t>CC Ecommerce Solutions</t>
        </is>
      </c>
      <c r="H228" s="15" t="inlineStr">
        <is>
          <t>Voorraad/Leverancier</t>
        </is>
      </c>
      <c r="I228" s="15" t="inlineStr">
        <is>
          <t>Zakelijk</t>
        </is>
      </c>
      <c r="J228" s="15" t="inlineStr">
        <is>
          <t>Nee</t>
        </is>
      </c>
      <c r="K228" s="18" t="n">
        <v>400</v>
      </c>
      <c r="L228" s="15" t="n"/>
      <c r="M228" s="15" t="inlineStr"/>
      <c r="N228" s="15" t="inlineStr"/>
    </row>
    <row r="229">
      <c r="A229" s="17" t="n">
        <v>46157</v>
      </c>
      <c r="B229" s="15">
        <f>ISOWEEKNUM(A229)</f>
        <v/>
      </c>
      <c r="C229" s="17">
        <f>A229-WEEKDAY(A229,2)+1</f>
        <v/>
      </c>
      <c r="D229" s="15">
        <f>TEXT(A229,"mmm yyyy")</f>
        <v/>
      </c>
      <c r="E229" s="15" t="inlineStr">
        <is>
          <t>Uit</t>
        </is>
      </c>
      <c r="F229" s="15" t="inlineStr">
        <is>
          <t>Oxylabs Oxylabs</t>
        </is>
      </c>
      <c r="G229" s="15" t="inlineStr">
        <is>
          <t>Oxylabs</t>
        </is>
      </c>
      <c r="H229" s="15" t="inlineStr">
        <is>
          <t>Software &amp; Tools</t>
        </is>
      </c>
      <c r="I229" s="15" t="inlineStr">
        <is>
          <t>Zakelijk</t>
        </is>
      </c>
      <c r="J229" s="15" t="inlineStr">
        <is>
          <t>Nee</t>
        </is>
      </c>
      <c r="K229" s="18" t="n">
        <v>18.7</v>
      </c>
      <c r="L229" s="15" t="n"/>
      <c r="M229" s="15" t="inlineStr">
        <is>
          <t>$21.78</t>
        </is>
      </c>
      <c r="N229" s="15" t="inlineStr"/>
    </row>
    <row r="230">
      <c r="A230" s="10" t="n">
        <v>46157</v>
      </c>
      <c r="B230" s="11">
        <f>ISOWEEKNUM(A230)</f>
        <v/>
      </c>
      <c r="C230" s="10">
        <f>A230-WEEKDAY(A230,2)+1</f>
        <v/>
      </c>
      <c r="D230" s="11">
        <f>TEXT(A230,"mmm yyyy")</f>
        <v/>
      </c>
      <c r="E230" s="11" t="inlineStr">
        <is>
          <t>Uit</t>
        </is>
      </c>
      <c r="F230" s="11" t="inlineStr">
        <is>
          <t>Ok Enschede Bl</t>
        </is>
      </c>
      <c r="G230" s="11" t="inlineStr">
        <is>
          <t>OK Tankstation</t>
        </is>
      </c>
      <c r="H230" s="11" t="inlineStr">
        <is>
          <t>Brandstof</t>
        </is>
      </c>
      <c r="I230" s="11" t="inlineStr">
        <is>
          <t>Prive</t>
        </is>
      </c>
      <c r="J230" s="11" t="inlineStr">
        <is>
          <t>Ja</t>
        </is>
      </c>
      <c r="K230" s="12" t="n">
        <v>7.65</v>
      </c>
      <c r="L230" s="11" t="n"/>
      <c r="M230" s="11" t="inlineStr"/>
      <c r="N230" s="11" t="inlineStr"/>
    </row>
    <row r="231">
      <c r="A231" s="10" t="n">
        <v>46157</v>
      </c>
      <c r="B231" s="11">
        <f>ISOWEEKNUM(A231)</f>
        <v/>
      </c>
      <c r="C231" s="10">
        <f>A231-WEEKDAY(A231,2)+1</f>
        <v/>
      </c>
      <c r="D231" s="11">
        <f>TEXT(A231,"mmm yyyy")</f>
        <v/>
      </c>
      <c r="E231" s="11" t="inlineStr">
        <is>
          <t>Uit</t>
        </is>
      </c>
      <c r="F231" s="11" t="inlineStr">
        <is>
          <t>Wokrestaurant Hao Hao</t>
        </is>
      </c>
      <c r="G231" s="11" t="inlineStr">
        <is>
          <t>Hao Hao</t>
        </is>
      </c>
      <c r="H231" s="11" t="inlineStr">
        <is>
          <t>Eten &amp; Restaurant</t>
        </is>
      </c>
      <c r="I231" s="11" t="inlineStr">
        <is>
          <t>Prive</t>
        </is>
      </c>
      <c r="J231" s="11" t="inlineStr">
        <is>
          <t>Ja</t>
        </is>
      </c>
      <c r="K231" s="12" t="n">
        <v>56.1</v>
      </c>
      <c r="L231" s="11" t="n"/>
      <c r="M231" s="11" t="inlineStr"/>
      <c r="N231" s="11" t="inlineStr"/>
    </row>
    <row r="232">
      <c r="A232" s="10" t="n">
        <v>46157</v>
      </c>
      <c r="B232" s="11">
        <f>ISOWEEKNUM(A232)</f>
        <v/>
      </c>
      <c r="C232" s="10">
        <f>A232-WEEKDAY(A232,2)+1</f>
        <v/>
      </c>
      <c r="D232" s="11">
        <f>TEXT(A232,"mmm yyyy")</f>
        <v/>
      </c>
      <c r="E232" s="11" t="inlineStr">
        <is>
          <t>Uit</t>
        </is>
      </c>
      <c r="F232" s="11" t="inlineStr">
        <is>
          <t>Easyparknlcom</t>
        </is>
      </c>
      <c r="G232" s="11" t="inlineStr">
        <is>
          <t>Easypark</t>
        </is>
      </c>
      <c r="H232" s="11" t="inlineStr">
        <is>
          <t>Parkeren</t>
        </is>
      </c>
      <c r="I232" s="11" t="inlineStr">
        <is>
          <t>Prive</t>
        </is>
      </c>
      <c r="J232" s="11" t="inlineStr">
        <is>
          <t>Ja</t>
        </is>
      </c>
      <c r="K232" s="12" t="n">
        <v>3.92</v>
      </c>
      <c r="L232" s="11" t="n"/>
      <c r="M232" s="11" t="inlineStr"/>
      <c r="N232" s="11" t="inlineStr"/>
    </row>
    <row r="233">
      <c r="A233" s="13" t="n">
        <v>46157</v>
      </c>
      <c r="B233" s="14">
        <f>ISOWEEKNUM(A233)</f>
        <v/>
      </c>
      <c r="C233" s="13">
        <f>A233-WEEKDAY(A233,2)+1</f>
        <v/>
      </c>
      <c r="D233" s="14">
        <f>TEXT(A233,"mmm yyyy")</f>
        <v/>
      </c>
      <c r="E233" s="14" t="inlineStr">
        <is>
          <t>In</t>
        </is>
      </c>
      <c r="F233" s="14" t="inlineStr">
        <is>
          <t>Money added Stripe Y7V4A7</t>
        </is>
      </c>
      <c r="G233" s="14" t="inlineStr">
        <is>
          <t>Stripe</t>
        </is>
      </c>
      <c r="H233" s="14" t="inlineStr">
        <is>
          <t>Omzet</t>
        </is>
      </c>
      <c r="I233" s="14" t="inlineStr">
        <is>
          <t>Zakelijk</t>
        </is>
      </c>
      <c r="J233" s="14" t="inlineStr">
        <is>
          <t>Nee</t>
        </is>
      </c>
      <c r="K233" s="15" t="n"/>
      <c r="L233" s="16" t="n">
        <v>248.94</v>
      </c>
      <c r="M233" s="15" t="inlineStr"/>
      <c r="N233" s="14" t="inlineStr"/>
    </row>
    <row r="234">
      <c r="A234" s="13" t="n">
        <v>46156</v>
      </c>
      <c r="B234" s="14">
        <f>ISOWEEKNUM(A234)</f>
        <v/>
      </c>
      <c r="C234" s="13">
        <f>A234-WEEKDAY(A234,2)+1</f>
        <v/>
      </c>
      <c r="D234" s="14">
        <f>TEXT(A234,"mmm yyyy")</f>
        <v/>
      </c>
      <c r="E234" s="14" t="inlineStr">
        <is>
          <t>In</t>
        </is>
      </c>
      <c r="F234" s="14" t="inlineStr">
        <is>
          <t>Money added Stripe M5R6Z3</t>
        </is>
      </c>
      <c r="G234" s="14" t="inlineStr">
        <is>
          <t>Stripe</t>
        </is>
      </c>
      <c r="H234" s="14" t="inlineStr">
        <is>
          <t>Omzet</t>
        </is>
      </c>
      <c r="I234" s="14" t="inlineStr">
        <is>
          <t>Zakelijk</t>
        </is>
      </c>
      <c r="J234" s="14" t="inlineStr">
        <is>
          <t>Nee</t>
        </is>
      </c>
      <c r="K234" s="15" t="n"/>
      <c r="L234" s="16" t="n">
        <v>318.34</v>
      </c>
      <c r="M234" s="15" t="inlineStr"/>
      <c r="N234" s="14" t="inlineStr"/>
    </row>
    <row r="235">
      <c r="A235" s="17" t="n">
        <v>46155</v>
      </c>
      <c r="B235" s="15">
        <f>ISOWEEKNUM(A235)</f>
        <v/>
      </c>
      <c r="C235" s="17">
        <f>A235-WEEKDAY(A235,2)+1</f>
        <v/>
      </c>
      <c r="D235" s="15">
        <f>TEXT(A235,"mmm yyyy")</f>
        <v/>
      </c>
      <c r="E235" s="15" t="inlineStr">
        <is>
          <t>Uit</t>
        </is>
      </c>
      <c r="F235" s="15" t="inlineStr">
        <is>
          <t>Higgsfield Inc</t>
        </is>
      </c>
      <c r="G235" s="15" t="inlineStr">
        <is>
          <t>Higgsfield</t>
        </is>
      </c>
      <c r="H235" s="15" t="inlineStr">
        <is>
          <t>Software &amp; Tools</t>
        </is>
      </c>
      <c r="I235" s="15" t="inlineStr">
        <is>
          <t>Zakelijk</t>
        </is>
      </c>
      <c r="J235" s="15" t="inlineStr">
        <is>
          <t>Nee</t>
        </is>
      </c>
      <c r="K235" s="18" t="n">
        <v>12.37</v>
      </c>
      <c r="L235" s="15" t="n"/>
      <c r="M235" s="15" t="inlineStr">
        <is>
          <t>$14.52</t>
        </is>
      </c>
      <c r="N235" s="15" t="inlineStr"/>
    </row>
    <row r="236">
      <c r="A236" s="13" t="n">
        <v>46154</v>
      </c>
      <c r="B236" s="14">
        <f>ISOWEEKNUM(A236)</f>
        <v/>
      </c>
      <c r="C236" s="13">
        <f>A236-WEEKDAY(A236,2)+1</f>
        <v/>
      </c>
      <c r="D236" s="14">
        <f>TEXT(A236,"mmm yyyy")</f>
        <v/>
      </c>
      <c r="E236" s="14" t="inlineStr">
        <is>
          <t>In</t>
        </is>
      </c>
      <c r="F236" s="14" t="inlineStr">
        <is>
          <t>From Talat U</t>
        </is>
      </c>
      <c r="G236" s="14" t="inlineStr">
        <is>
          <t>Talat</t>
        </is>
      </c>
      <c r="H236" s="14" t="inlineStr">
        <is>
          <t>Eigen inleg</t>
        </is>
      </c>
      <c r="I236" s="14" t="inlineStr">
        <is>
          <t>Prive</t>
        </is>
      </c>
      <c r="J236" s="14" t="inlineStr">
        <is>
          <t>Inleg/terugbetaling</t>
        </is>
      </c>
      <c r="K236" s="15" t="n"/>
      <c r="L236" s="16" t="n">
        <v>15</v>
      </c>
      <c r="M236" s="15" t="inlineStr"/>
      <c r="N236" s="14" t="inlineStr"/>
    </row>
  </sheetData>
  <dataValidations count="4">
    <dataValidation sqref="H2:H700" showDropDown="0" showInputMessage="0" showErrorMessage="0" allowBlank="1" type="list">
      <formula1>"Omzet,Eigen inleg,Voorraad/Leverancier,Software &amp; Tools,Auto/Lease,Brandstof,Parkeren,Boodschappen,Eten &amp; Restaurant,Kleding,Persoonlijk,Crypto,Bankkosten,Telefoon/Communicatie,Prive-opname,Overig"</formula1>
    </dataValidation>
    <dataValidation sqref="I2:I700" showDropDown="0" showInputMessage="0" showErrorMessage="0" allowBlank="1" type="list">
      <formula1>"Zakelijk,Prive"</formula1>
    </dataValidation>
    <dataValidation sqref="J2:J700" showDropDown="0" showInputMessage="0" showErrorMessage="0" allowBlank="1" type="list">
      <formula1>"Ja,Nee,Inleg/terugbetaling"</formula1>
    </dataValidation>
    <dataValidation sqref="E2:E700" showDropDown="0" showInputMessage="0" showErrorMessage="0" allowBlank="1" type="list">
      <formula1>"In,Uit"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Week</t>
        </is>
      </c>
      <c r="B1" s="9" t="inlineStr">
        <is>
          <t>Van (maandag)</t>
        </is>
      </c>
      <c r="C1" s="9" t="inlineStr">
        <is>
          <t>Inkomsten</t>
        </is>
      </c>
      <c r="D1" s="9" t="inlineStr">
        <is>
          <t>Uitgaven (totaal)</t>
        </is>
      </c>
      <c r="E1" s="9" t="inlineStr">
        <is>
          <t>waarvan zakelijk</t>
        </is>
      </c>
      <c r="F1" s="9" t="inlineStr">
        <is>
          <t>waarvan prive</t>
        </is>
      </c>
      <c r="G1" s="9" t="inlineStr">
        <is>
          <t>Netto</t>
        </is>
      </c>
    </row>
    <row r="2">
      <c r="A2" s="3" t="inlineStr">
        <is>
          <t>Wk 20</t>
        </is>
      </c>
      <c r="B2" s="19" t="n">
        <v>46153</v>
      </c>
      <c r="C2" s="4">
        <f>SUMIFS(Transacties!L:L,Transacties!C:C,B2)</f>
        <v/>
      </c>
      <c r="D2" s="4">
        <f>SUMIFS(Transacties!K:K,Transacties!C:C,B2)</f>
        <v/>
      </c>
      <c r="E2" s="4">
        <f>SUMIFS(Transacties!K:K,Transacties!C:C,B2,Transacties!I:I,"Zakelijk")</f>
        <v/>
      </c>
      <c r="F2" s="4">
        <f>SUMIFS(Transacties!K:K,Transacties!C:C,B2,Transacties!I:I,"Prive")</f>
        <v/>
      </c>
      <c r="G2" s="4">
        <f>C2-D2</f>
        <v/>
      </c>
    </row>
    <row r="3">
      <c r="A3" s="3" t="inlineStr">
        <is>
          <t>Wk 21</t>
        </is>
      </c>
      <c r="B3" s="19" t="n">
        <v>46160</v>
      </c>
      <c r="C3" s="4">
        <f>SUMIFS(Transacties!L:L,Transacties!C:C,B3)</f>
        <v/>
      </c>
      <c r="D3" s="4">
        <f>SUMIFS(Transacties!K:K,Transacties!C:C,B3)</f>
        <v/>
      </c>
      <c r="E3" s="4">
        <f>SUMIFS(Transacties!K:K,Transacties!C:C,B3,Transacties!I:I,"Zakelijk")</f>
        <v/>
      </c>
      <c r="F3" s="4">
        <f>SUMIFS(Transacties!K:K,Transacties!C:C,B3,Transacties!I:I,"Prive")</f>
        <v/>
      </c>
      <c r="G3" s="4">
        <f>C3-D3</f>
        <v/>
      </c>
    </row>
    <row r="4">
      <c r="A4" s="3" t="inlineStr">
        <is>
          <t>Wk 22</t>
        </is>
      </c>
      <c r="B4" s="19" t="n">
        <v>46167</v>
      </c>
      <c r="C4" s="4">
        <f>SUMIFS(Transacties!L:L,Transacties!C:C,B4)</f>
        <v/>
      </c>
      <c r="D4" s="4">
        <f>SUMIFS(Transacties!K:K,Transacties!C:C,B4)</f>
        <v/>
      </c>
      <c r="E4" s="4">
        <f>SUMIFS(Transacties!K:K,Transacties!C:C,B4,Transacties!I:I,"Zakelijk")</f>
        <v/>
      </c>
      <c r="F4" s="4">
        <f>SUMIFS(Transacties!K:K,Transacties!C:C,B4,Transacties!I:I,"Prive")</f>
        <v/>
      </c>
      <c r="G4" s="4">
        <f>C4-D4</f>
        <v/>
      </c>
    </row>
    <row r="5">
      <c r="A5" s="3" t="inlineStr">
        <is>
          <t>Wk 23</t>
        </is>
      </c>
      <c r="B5" s="19" t="n">
        <v>46174</v>
      </c>
      <c r="C5" s="4">
        <f>SUMIFS(Transacties!L:L,Transacties!C:C,B5)</f>
        <v/>
      </c>
      <c r="D5" s="4">
        <f>SUMIFS(Transacties!K:K,Transacties!C:C,B5)</f>
        <v/>
      </c>
      <c r="E5" s="4">
        <f>SUMIFS(Transacties!K:K,Transacties!C:C,B5,Transacties!I:I,"Zakelijk")</f>
        <v/>
      </c>
      <c r="F5" s="4">
        <f>SUMIFS(Transacties!K:K,Transacties!C:C,B5,Transacties!I:I,"Prive")</f>
        <v/>
      </c>
      <c r="G5" s="4">
        <f>C5-D5</f>
        <v/>
      </c>
    </row>
    <row r="6">
      <c r="A6" s="3" t="inlineStr">
        <is>
          <t>Wk 24</t>
        </is>
      </c>
      <c r="B6" s="19" t="n">
        <v>46181</v>
      </c>
      <c r="C6" s="4">
        <f>SUMIFS(Transacties!L:L,Transacties!C:C,B6)</f>
        <v/>
      </c>
      <c r="D6" s="4">
        <f>SUMIFS(Transacties!K:K,Transacties!C:C,B6)</f>
        <v/>
      </c>
      <c r="E6" s="4">
        <f>SUMIFS(Transacties!K:K,Transacties!C:C,B6,Transacties!I:I,"Zakelijk")</f>
        <v/>
      </c>
      <c r="F6" s="4">
        <f>SUMIFS(Transacties!K:K,Transacties!C:C,B6,Transacties!I:I,"Prive")</f>
        <v/>
      </c>
      <c r="G6" s="4">
        <f>C6-D6</f>
        <v/>
      </c>
    </row>
    <row r="7">
      <c r="A7" s="3" t="inlineStr">
        <is>
          <t>Wk 25</t>
        </is>
      </c>
      <c r="B7" s="19" t="n">
        <v>46188</v>
      </c>
      <c r="C7" s="4">
        <f>SUMIFS(Transacties!L:L,Transacties!C:C,B7)</f>
        <v/>
      </c>
      <c r="D7" s="4">
        <f>SUMIFS(Transacties!K:K,Transacties!C:C,B7)</f>
        <v/>
      </c>
      <c r="E7" s="4">
        <f>SUMIFS(Transacties!K:K,Transacties!C:C,B7,Transacties!I:I,"Zakelijk")</f>
        <v/>
      </c>
      <c r="F7" s="4">
        <f>SUMIFS(Transacties!K:K,Transacties!C:C,B7,Transacties!I:I,"Prive")</f>
        <v/>
      </c>
      <c r="G7" s="4">
        <f>C7-D7</f>
        <v/>
      </c>
    </row>
    <row r="8">
      <c r="A8" s="3" t="inlineStr">
        <is>
          <t>Wk 26</t>
        </is>
      </c>
      <c r="B8" s="19" t="n">
        <v>46195</v>
      </c>
      <c r="C8" s="4">
        <f>SUMIFS(Transacties!L:L,Transacties!C:C,B8)</f>
        <v/>
      </c>
      <c r="D8" s="4">
        <f>SUMIFS(Transacties!K:K,Transacties!C:C,B8)</f>
        <v/>
      </c>
      <c r="E8" s="4">
        <f>SUMIFS(Transacties!K:K,Transacties!C:C,B8,Transacties!I:I,"Zakelijk")</f>
        <v/>
      </c>
      <c r="F8" s="4">
        <f>SUMIFS(Transacties!K:K,Transacties!C:C,B8,Transacties!I:I,"Prive")</f>
        <v/>
      </c>
      <c r="G8" s="4">
        <f>C8-D8</f>
        <v/>
      </c>
    </row>
    <row r="9">
      <c r="A9" s="3" t="inlineStr">
        <is>
          <t>TOTAAL</t>
        </is>
      </c>
      <c r="C9" s="20">
        <f>SUM(C2:C8)</f>
        <v/>
      </c>
      <c r="D9" s="20">
        <f>SUM(D2:D8)</f>
        <v/>
      </c>
      <c r="E9" s="20">
        <f>SUM(E2:E8)</f>
        <v/>
      </c>
      <c r="F9" s="20">
        <f>SUM(F2:F8)</f>
        <v/>
      </c>
      <c r="G9" s="20">
        <f>SUM(G2:G8)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1" t="inlineStr">
        <is>
          <t>Categorie</t>
        </is>
      </c>
      <c r="B1" s="21" t="inlineStr">
        <is>
          <t>Uitgaven (€)</t>
        </is>
      </c>
      <c r="C1" s="21" t="inlineStr">
        <is>
          <t>Inkomsten (€)</t>
        </is>
      </c>
    </row>
    <row r="2">
      <c r="A2" s="5" t="inlineStr">
        <is>
          <t>Omzet</t>
        </is>
      </c>
      <c r="B2" s="4">
        <f>SUMIF(Transacties!H:H,A2,Transacties!K:K)</f>
        <v/>
      </c>
      <c r="C2" s="4">
        <f>SUMIF(Transacties!H:H,A2,Transacties!L:L)</f>
        <v/>
      </c>
    </row>
    <row r="3">
      <c r="A3" s="5" t="inlineStr">
        <is>
          <t>Eigen inleg</t>
        </is>
      </c>
      <c r="B3" s="4">
        <f>SUMIF(Transacties!H:H,A3,Transacties!K:K)</f>
        <v/>
      </c>
      <c r="C3" s="4">
        <f>SUMIF(Transacties!H:H,A3,Transacties!L:L)</f>
        <v/>
      </c>
    </row>
    <row r="4">
      <c r="A4" s="5" t="inlineStr">
        <is>
          <t>Voorraad/Leverancier</t>
        </is>
      </c>
      <c r="B4" s="4">
        <f>SUMIF(Transacties!H:H,A4,Transacties!K:K)</f>
        <v/>
      </c>
      <c r="C4" s="4">
        <f>SUMIF(Transacties!H:H,A4,Transacties!L:L)</f>
        <v/>
      </c>
    </row>
    <row r="5">
      <c r="A5" s="5" t="inlineStr">
        <is>
          <t>Software &amp; Tools</t>
        </is>
      </c>
      <c r="B5" s="4">
        <f>SUMIF(Transacties!H:H,A5,Transacties!K:K)</f>
        <v/>
      </c>
      <c r="C5" s="4">
        <f>SUMIF(Transacties!H:H,A5,Transacties!L:L)</f>
        <v/>
      </c>
    </row>
    <row r="6">
      <c r="A6" s="5" t="inlineStr">
        <is>
          <t>Auto/Lease</t>
        </is>
      </c>
      <c r="B6" s="4">
        <f>SUMIF(Transacties!H:H,A6,Transacties!K:K)</f>
        <v/>
      </c>
      <c r="C6" s="4">
        <f>SUMIF(Transacties!H:H,A6,Transacties!L:L)</f>
        <v/>
      </c>
    </row>
    <row r="7">
      <c r="A7" s="5" t="inlineStr">
        <is>
          <t>Brandstof</t>
        </is>
      </c>
      <c r="B7" s="4">
        <f>SUMIF(Transacties!H:H,A7,Transacties!K:K)</f>
        <v/>
      </c>
      <c r="C7" s="4">
        <f>SUMIF(Transacties!H:H,A7,Transacties!L:L)</f>
        <v/>
      </c>
    </row>
    <row r="8">
      <c r="A8" s="5" t="inlineStr">
        <is>
          <t>Parkeren</t>
        </is>
      </c>
      <c r="B8" s="4">
        <f>SUMIF(Transacties!H:H,A8,Transacties!K:K)</f>
        <v/>
      </c>
      <c r="C8" s="4">
        <f>SUMIF(Transacties!H:H,A8,Transacties!L:L)</f>
        <v/>
      </c>
    </row>
    <row r="9">
      <c r="A9" s="5" t="inlineStr">
        <is>
          <t>Boodschappen</t>
        </is>
      </c>
      <c r="B9" s="4">
        <f>SUMIF(Transacties!H:H,A9,Transacties!K:K)</f>
        <v/>
      </c>
      <c r="C9" s="4">
        <f>SUMIF(Transacties!H:H,A9,Transacties!L:L)</f>
        <v/>
      </c>
    </row>
    <row r="10">
      <c r="A10" s="5" t="inlineStr">
        <is>
          <t>Eten &amp; Restaurant</t>
        </is>
      </c>
      <c r="B10" s="4">
        <f>SUMIF(Transacties!H:H,A10,Transacties!K:K)</f>
        <v/>
      </c>
      <c r="C10" s="4">
        <f>SUMIF(Transacties!H:H,A10,Transacties!L:L)</f>
        <v/>
      </c>
    </row>
    <row r="11">
      <c r="A11" s="5" t="inlineStr">
        <is>
          <t>Kleding</t>
        </is>
      </c>
      <c r="B11" s="4">
        <f>SUMIF(Transacties!H:H,A11,Transacties!K:K)</f>
        <v/>
      </c>
      <c r="C11" s="4">
        <f>SUMIF(Transacties!H:H,A11,Transacties!L:L)</f>
        <v/>
      </c>
    </row>
    <row r="12">
      <c r="A12" s="5" t="inlineStr">
        <is>
          <t>Persoonlijk</t>
        </is>
      </c>
      <c r="B12" s="4">
        <f>SUMIF(Transacties!H:H,A12,Transacties!K:K)</f>
        <v/>
      </c>
      <c r="C12" s="4">
        <f>SUMIF(Transacties!H:H,A12,Transacties!L:L)</f>
        <v/>
      </c>
    </row>
    <row r="13">
      <c r="A13" s="5" t="inlineStr">
        <is>
          <t>Crypto</t>
        </is>
      </c>
      <c r="B13" s="4">
        <f>SUMIF(Transacties!H:H,A13,Transacties!K:K)</f>
        <v/>
      </c>
      <c r="C13" s="4">
        <f>SUMIF(Transacties!H:H,A13,Transacties!L:L)</f>
        <v/>
      </c>
    </row>
    <row r="14">
      <c r="A14" s="5" t="inlineStr">
        <is>
          <t>Bankkosten</t>
        </is>
      </c>
      <c r="B14" s="4">
        <f>SUMIF(Transacties!H:H,A14,Transacties!K:K)</f>
        <v/>
      </c>
      <c r="C14" s="4">
        <f>SUMIF(Transacties!H:H,A14,Transacties!L:L)</f>
        <v/>
      </c>
    </row>
    <row r="15">
      <c r="A15" s="5" t="inlineStr">
        <is>
          <t>Telefoon/Communicatie</t>
        </is>
      </c>
      <c r="B15" s="4">
        <f>SUMIF(Transacties!H:H,A15,Transacties!K:K)</f>
        <v/>
      </c>
      <c r="C15" s="4">
        <f>SUMIF(Transacties!H:H,A15,Transacties!L:L)</f>
        <v/>
      </c>
    </row>
    <row r="16">
      <c r="A16" s="5" t="inlineStr">
        <is>
          <t>Prive-opname</t>
        </is>
      </c>
      <c r="B16" s="4">
        <f>SUMIF(Transacties!H:H,A16,Transacties!K:K)</f>
        <v/>
      </c>
      <c r="C16" s="4">
        <f>SUMIF(Transacties!H:H,A16,Transacties!L:L)</f>
        <v/>
      </c>
    </row>
    <row r="17">
      <c r="A17" s="5" t="inlineStr">
        <is>
          <t>Overig</t>
        </is>
      </c>
      <c r="B17" s="4">
        <f>SUMIF(Transacties!H:H,A17,Transacties!K:K)</f>
        <v/>
      </c>
      <c r="C17" s="4">
        <f>SUMIF(Transacties!H:H,A17,Transacties!L:L)</f>
        <v/>
      </c>
    </row>
    <row r="18">
      <c r="A18" s="3" t="inlineStr">
        <is>
          <t>TOTAAL</t>
        </is>
      </c>
      <c r="B18" s="22">
        <f>SUM(B2:B17)</f>
        <v/>
      </c>
      <c r="C18" s="22">
        <f>SUM(C2:C17)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Prive terug te betalen aan het bedrijf</t>
        </is>
      </c>
    </row>
    <row r="2">
      <c r="A2" s="2" t="inlineStr">
        <is>
          <t>Alles wat je prive met de zakelijke rekening betaalde (incl. brandstof + parkeren), plus opnames. Eigen inleg = al terugbetaald.</t>
        </is>
      </c>
    </row>
    <row r="4">
      <c r="A4" s="5" t="inlineStr">
        <is>
          <t>Prive uitgaven + opnames (totaal)</t>
        </is>
      </c>
      <c r="B4" s="4">
        <f>SUMIF(Transacties!I:I,"Prive",Transacties!K:K)</f>
        <v/>
      </c>
    </row>
    <row r="5">
      <c r="A5" s="5" t="inlineStr">
        <is>
          <t>Al teruggestort (eigen inleg)</t>
        </is>
      </c>
      <c r="B5" s="4">
        <f>SUMIF(Transacties!H:H,"Eigen inleg",Transacties!L:L)</f>
        <v/>
      </c>
    </row>
    <row r="6">
      <c r="A6" s="6" t="inlineStr">
        <is>
          <t>NOG TERUG TE BETALEN</t>
        </is>
      </c>
      <c r="B6" s="23">
        <f>B4-B5</f>
        <v/>
      </c>
    </row>
    <row r="8">
      <c r="A8" s="3" t="inlineStr">
        <is>
          <t>Uitsplitsing prive per categorie</t>
        </is>
      </c>
    </row>
    <row r="9">
      <c r="A9" s="21" t="inlineStr">
        <is>
          <t>Categorie</t>
        </is>
      </c>
      <c r="B9" s="21" t="inlineStr">
        <is>
          <t>Bedrag (€)</t>
        </is>
      </c>
    </row>
    <row r="10">
      <c r="A10" s="5" t="inlineStr">
        <is>
          <t>Brandstof</t>
        </is>
      </c>
      <c r="B10" s="4">
        <f>SUMIFS(Transacties!K:K,Transacties!H:H,A10,Transacties!I:I,"Prive")</f>
        <v/>
      </c>
    </row>
    <row r="11">
      <c r="A11" s="5" t="inlineStr">
        <is>
          <t>Parkeren</t>
        </is>
      </c>
      <c r="B11" s="4">
        <f>SUMIFS(Transacties!K:K,Transacties!H:H,A11,Transacties!I:I,"Prive")</f>
        <v/>
      </c>
    </row>
    <row r="12">
      <c r="A12" s="5" t="inlineStr">
        <is>
          <t>Boodschappen</t>
        </is>
      </c>
      <c r="B12" s="4">
        <f>SUMIFS(Transacties!K:K,Transacties!H:H,A12,Transacties!I:I,"Prive")</f>
        <v/>
      </c>
    </row>
    <row r="13">
      <c r="A13" s="5" t="inlineStr">
        <is>
          <t>Eten &amp; Restaurant</t>
        </is>
      </c>
      <c r="B13" s="4">
        <f>SUMIFS(Transacties!K:K,Transacties!H:H,A13,Transacties!I:I,"Prive")</f>
        <v/>
      </c>
    </row>
    <row r="14">
      <c r="A14" s="5" t="inlineStr">
        <is>
          <t>Kleding</t>
        </is>
      </c>
      <c r="B14" s="4">
        <f>SUMIFS(Transacties!K:K,Transacties!H:H,A14,Transacties!I:I,"Prive")</f>
        <v/>
      </c>
    </row>
    <row r="15">
      <c r="A15" s="5" t="inlineStr">
        <is>
          <t>Persoonlijk</t>
        </is>
      </c>
      <c r="B15" s="4">
        <f>SUMIFS(Transacties!K:K,Transacties!H:H,A15,Transacties!I:I,"Prive")</f>
        <v/>
      </c>
    </row>
    <row r="16">
      <c r="A16" s="5" t="inlineStr">
        <is>
          <t>Crypto</t>
        </is>
      </c>
      <c r="B16" s="4">
        <f>SUMIFS(Transacties!K:K,Transacties!H:H,A16,Transacties!I:I,"Prive")</f>
        <v/>
      </c>
    </row>
    <row r="17">
      <c r="A17" s="5" t="inlineStr">
        <is>
          <t>Auto/Lease</t>
        </is>
      </c>
      <c r="B17" s="4">
        <f>SUMIFS(Transacties!K:K,Transacties!H:H,A17,Transacties!I:I,"Prive")</f>
        <v/>
      </c>
    </row>
    <row r="18">
      <c r="A18" s="5" t="inlineStr">
        <is>
          <t>Prive-opname</t>
        </is>
      </c>
      <c r="B18" s="4">
        <f>SUMIFS(Transacties!K:K,Transacties!H:H,A18,Transacties!I:I,"Prive")</f>
        <v/>
      </c>
    </row>
    <row r="19">
      <c r="A19" s="5" t="inlineStr">
        <is>
          <t>Overig</t>
        </is>
      </c>
      <c r="B19" s="4">
        <f>SUMIFS(Transacties!K:K,Transacties!H:H,A19,Transacties!I:I,"Prive")</f>
        <v/>
      </c>
    </row>
    <row r="20">
      <c r="A20" s="3" t="inlineStr">
        <is>
          <t>TOTAAL prive</t>
        </is>
      </c>
      <c r="B20" s="22">
        <f>SUM(B10:B19)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Cashflow-sheet Uyar Web &amp; Trade — uitleg</t>
        </is>
      </c>
    </row>
    <row r="2">
      <c r="A2" s="5" t="inlineStr"/>
    </row>
    <row r="3">
      <c r="A3" s="24" t="inlineStr">
        <is>
          <t>Wat dit is:</t>
        </is>
      </c>
    </row>
    <row r="4">
      <c r="A4" s="5" t="inlineStr">
        <is>
          <t>Alle transacties op je Revolut Business rekening, 10 mei t/m 24 juni 2026 (Revolut account statement).</t>
        </is>
      </c>
    </row>
    <row r="5">
      <c r="A5" s="5" t="inlineStr">
        <is>
          <t>Roze regel = prive, groene regel = geld erin. Klik de filterknoppen in de kop van 'Transacties' om te sorteren/filteren.</t>
        </is>
      </c>
    </row>
    <row r="6">
      <c r="A6" s="5" t="inlineStr"/>
    </row>
    <row r="7">
      <c r="A7" s="24" t="inlineStr">
        <is>
          <t>De tabbladen:</t>
        </is>
      </c>
    </row>
    <row r="8">
      <c r="A8" s="5" t="inlineStr">
        <is>
          <t>- Samenvatting: totalen + hoeveel je nog prive moet terugbetalen + controle tegen het Revolut-statement.</t>
        </is>
      </c>
    </row>
    <row r="9">
      <c r="A9" s="5" t="inlineStr">
        <is>
          <t>- Transacties: alle regels met dropdowns (Categorie / Prive-Zakelijk / Terugbetalen).</t>
        </is>
      </c>
    </row>
    <row r="10">
      <c r="A10" s="5" t="inlineStr">
        <is>
          <t>- Weekoverzicht: per week in / uit / netto, zakelijk vs prive (wk 20 t/m 26).</t>
        </is>
      </c>
    </row>
    <row r="11">
      <c r="A11" s="5" t="inlineStr">
        <is>
          <t>- Categorieen: totaal per categorie.</t>
        </is>
      </c>
    </row>
    <row r="12">
      <c r="A12" s="5" t="inlineStr">
        <is>
          <t>- Prive terugbetalen: wat je prive gebruikte minus je inleg.</t>
        </is>
      </c>
    </row>
    <row r="13">
      <c r="A13" s="5" t="inlineStr"/>
    </row>
    <row r="14">
      <c r="A14" s="24" t="inlineStr">
        <is>
          <t>Wijziging t.o.v. vorige versie:</t>
        </is>
      </c>
    </row>
    <row r="15">
      <c r="A15" s="5" t="inlineStr">
        <is>
          <t>Brandstof EN parkeren staan nu op PRIVE (jouw instructie). Ze tellen dus mee in 'nog terug te betalen'.</t>
        </is>
      </c>
    </row>
    <row r="16">
      <c r="A16" s="5" t="inlineStr"/>
    </row>
    <row r="17">
      <c r="A17" s="24" t="inlineStr">
        <is>
          <t>Hoe het prive-terugbetalen werkt:</t>
        </is>
      </c>
    </row>
    <row r="18">
      <c r="A18" s="5" t="inlineStr">
        <is>
          <t>Prive uitgaven met de zakelijke kaart (boodschappen, eten, kleding, brandstof, parkeren, crypto) + opnames naar prive</t>
        </is>
      </c>
    </row>
    <row r="19">
      <c r="A19" s="5">
        <f> 'prive gebruikt'. Stortingen 'From Talat U' = 'eigen inleg' en halen dat van je schuld af.</f>
        <v/>
      </c>
    </row>
    <row r="20">
      <c r="A20" s="5" t="inlineStr">
        <is>
          <t>NOG TERUG TE BETALEN = prive gebruikt - eigen inleg. Dit is je rekening-courant met de zaak (check met boekhouder).</t>
        </is>
      </c>
    </row>
    <row r="21">
      <c r="A21" s="5" t="inlineStr"/>
    </row>
    <row r="22">
      <c r="A22" s="24" t="inlineStr">
        <is>
          <t>Aannames (pas aan in kolom 'Prive/Zakelijk' als het anders is):</t>
        </is>
      </c>
    </row>
    <row r="23">
      <c r="A23" s="5" t="inlineStr">
        <is>
          <t>- PRIVE: boodschappen, eten/restaurant, kleding, kapper, Kindle, Patreon, brandstof, parkeren, crypto (Moonpay).</t>
        </is>
      </c>
    </row>
    <row r="24">
      <c r="A24" s="5" t="inlineStr">
        <is>
          <t>- ZAKELIJK: software/tools, leveranciers (CC Ecommerce, HK Jinchenyun, DHgate), bankkosten, telefoon.</t>
        </is>
      </c>
    </row>
    <row r="25">
      <c r="A25" s="5" t="inlineStr">
        <is>
          <t>- Hiltermann Lease B.V. (1.779,50) = autolease, op ZAKELIJK gezet met de melding 'check prive/bijtelling'. Beoordeel zelf.</t>
        </is>
      </c>
    </row>
    <row r="26">
      <c r="A26" s="5" t="inlineStr">
        <is>
          <t>- 'To Goatly VITAL NAD+' (23,97), Stichting Pair Finance (257), PayPal, 'To Koc via Tikkie', Merkala, MM Leidsche Rijn,</t>
        </is>
      </c>
    </row>
    <row r="27">
      <c r="A27" s="5" t="inlineStr">
        <is>
          <t xml:space="preserve">  Odido: gemarkeerd 'verifieer' in de notitie. Crypto staat op prive maar verifieer of het zakelijk is.</t>
        </is>
      </c>
    </row>
    <row r="28">
      <c r="A28" s="5" t="inlineStr"/>
    </row>
    <row r="29">
      <c r="A29" s="24" t="inlineStr">
        <is>
          <t>Controle:</t>
        </is>
      </c>
    </row>
    <row r="30">
      <c r="A30" s="5" t="inlineStr">
        <is>
          <t>Totaal uitgaven hoort 93.727,99 te zijn en inkomsten 102.382,04 (staat in het Revolut-statement). Klopt in de Samenvatting.</t>
        </is>
      </c>
    </row>
    <row r="31">
      <c r="A31" s="5" t="inlineStr"/>
    </row>
    <row r="32">
      <c r="A32" s="24" t="inlineStr">
        <is>
          <t>Nieuwe maand toevoegen:</t>
        </is>
      </c>
    </row>
    <row r="33">
      <c r="A33" s="5" t="inlineStr">
        <is>
          <t>Plak nieuwe regels onder in 'Transacties'. Datum + bedrag uit OF in invullen, dropdowns kiezen. Kolommen Week, Week-start</t>
        </is>
      </c>
    </row>
    <row r="34">
      <c r="A34" s="5" t="inlineStr">
        <is>
          <t>en Maand vullen zichzelf (kopieer de formules mee uit de regel erboven). Alle totalen rekenen automatisch door.</t>
        </is>
      </c>
    </row>
    <row r="35">
      <c r="A35" s="5" t="inlineStr"/>
    </row>
    <row r="36">
      <c r="A36" s="5" t="inlineStr">
        <is>
          <t>Grootste post: 'To CC Ecommerce Solutions 0722' (leverancier, dagelijks duizenden euro). Check tegen je inkoopfacturen.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2026-06-24T08:40:58Z</dcterms:created>
  <dcterms:modified xmlns:dcterms="http://purl.org/dc/terms/" xmlns:xsi="http://www.w3.org/2001/XMLSchema-instance" xsi:type="dcterms:W3CDTF">2026-06-24T08:40:58Z</dcterms:modified>
</cp:coreProperties>
</file>