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Juni 2026" sheetId="1" state="visible" r:id="rId1"/>
    <sheet xmlns:r="http://schemas.openxmlformats.org/officeDocument/2006/relationships" name="P&amp;L Juli 2026" sheetId="2" state="visible" r:id="rId2"/>
    <sheet xmlns:r="http://schemas.openxmlformats.org/officeDocument/2006/relationships" name="P&amp;L Augustus 2026" sheetId="3" state="visible" r:id="rId3"/>
    <sheet xmlns:r="http://schemas.openxmlformats.org/officeDocument/2006/relationships" name="P&amp;L September 2026" sheetId="4" state="visible" r:id="rId4"/>
    <sheet xmlns:r="http://schemas.openxmlformats.org/officeDocument/2006/relationships" name="P&amp;L Oktober 2026" sheetId="5" state="visible" r:id="rId5"/>
    <sheet xmlns:r="http://schemas.openxmlformats.org/officeDocument/2006/relationships" name="P&amp;L November 2026" sheetId="6" state="visible" r:id="rId6"/>
    <sheet xmlns:r="http://schemas.openxmlformats.org/officeDocument/2006/relationships" name="P&amp;L December 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\€#,##0.00;[RED]&quot;(€&quot;#,##0.00\)"/>
    <numFmt numFmtId="165" formatCode="yyyy-mm-dd h:mm:ss"/>
    <numFmt numFmtId="166" formatCode="dd\-mm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2F5233"/>
      <sz val="16"/>
    </font>
    <font>
      <name val="Arial"/>
      <b val="1"/>
      <color rgb="FFFFFFFF"/>
      <sz val="11"/>
    </font>
    <font>
      <name val="Arial"/>
      <b val="1"/>
      <color rgb="FF000000"/>
      <sz val="11"/>
    </font>
    <font>
      <name val="Arial"/>
      <color rgb="FF0000FF"/>
      <sz val="11"/>
    </font>
    <font>
      <name val="Arial"/>
      <color rgb="FF000000"/>
      <sz val="11"/>
    </font>
    <font>
      <name val="Arial"/>
      <i val="1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2F5233"/>
      </patternFill>
    </fill>
    <fill>
      <patternFill patternType="solid">
        <fgColor rgb="FFE8E0D0"/>
      </patternFill>
    </fill>
    <fill>
      <patternFill patternType="solid">
        <fgColor rgb="FFFFF7D6"/>
      </patternFill>
    </fill>
    <fill>
      <patternFill patternType="solid">
        <fgColor rgb="FF4A785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pivotButton="0" quotePrefix="0" xfId="0"/>
    <xf numFmtId="164" fontId="4" fillId="4" borderId="1" pivotButton="0" quotePrefix="0" xfId="0"/>
    <xf numFmtId="10" fontId="4" fillId="4" borderId="1" pivotButton="0" quotePrefix="0" xfId="0"/>
    <xf numFmtId="0" fontId="2" fillId="5" borderId="1" applyAlignment="1" pivotButton="0" quotePrefix="0" xfId="0">
      <alignment horizontal="center"/>
    </xf>
    <xf numFmtId="166" fontId="5" fillId="0" borderId="1" pivotButton="0" quotePrefix="0" xfId="0"/>
    <xf numFmtId="1" fontId="4" fillId="4" borderId="1" pivotButton="0" quotePrefix="0" xfId="0"/>
    <xf numFmtId="164" fontId="5" fillId="0" borderId="1" pivotButton="0" quotePrefix="0" xfId="0"/>
    <xf numFmtId="2" fontId="5" fillId="0" borderId="1" pivotButton="0" quotePrefix="0" xfId="0"/>
    <xf numFmtId="167" fontId="5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1" fontId="3" fillId="3" borderId="1" pivotButton="0" quotePrefix="0" xfId="0"/>
    <xf numFmtId="2" fontId="3" fillId="3" borderId="1" pivotButton="0" quotePrefix="0" xfId="0"/>
    <xf numFmtId="167" fontId="3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name val="Arial"/>
        <color rgb="FF006100"/>
        <sz val="11"/>
      </font>
      <fill>
        <patternFill patternType="solid">
          <fgColor rgb="FFC6EFCE"/>
          <bgColor rgb="FFC6EFCE"/>
        </patternFill>
      </fill>
    </dxf>
    <dxf>
      <font>
        <name val="Arial"/>
        <color rgb="FF9C0006"/>
        <sz val="11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1" customWidth="1" min="4" max="4"/>
    <col width="14" customWidth="1" min="5" max="5"/>
    <col width="13" customWidth="1" min="6" max="6"/>
    <col width="13" customWidth="1" min="7" max="7"/>
    <col width="10" customWidth="1" min="8" max="8"/>
    <col width="12" customWidth="1" min="9" max="9"/>
  </cols>
  <sheetData>
    <row r="1" ht="19.5" customHeight="1">
      <c r="A1" s="1" t="inlineStr">
        <is>
          <t>Goatly P&amp;L</t>
        </is>
      </c>
    </row>
    <row r="3">
      <c r="A3" s="2" t="inlineStr">
        <is>
          <t>INKOOP / COG per product (vul je eigen bedragen in)</t>
        </is>
      </c>
    </row>
    <row r="4">
      <c r="A4" s="3" t="n"/>
      <c r="B4" s="4" t="inlineStr">
        <is>
          <t>P1 (1 zak)</t>
        </is>
      </c>
      <c r="C4" s="4" t="inlineStr">
        <is>
          <t>P3 (2+1)</t>
        </is>
      </c>
      <c r="D4" s="4" t="inlineStr">
        <is>
          <t>P5 (3+2)</t>
        </is>
      </c>
    </row>
    <row r="5">
      <c r="A5" s="5" t="inlineStr">
        <is>
          <t>Verkoopprijs</t>
        </is>
      </c>
      <c r="B5" s="6" t="n">
        <v>39.95</v>
      </c>
      <c r="C5" s="6" t="n">
        <v>69.95</v>
      </c>
      <c r="D5" s="6" t="n">
        <v>109.95</v>
      </c>
    </row>
    <row r="6">
      <c r="A6" s="5" t="inlineStr">
        <is>
          <t>Inkoop (COG)</t>
        </is>
      </c>
      <c r="B6" s="6" t="n">
        <v>13.34</v>
      </c>
      <c r="C6" s="6" t="n">
        <v>25.28</v>
      </c>
      <c r="D6" s="6" t="n">
        <v>37.74</v>
      </c>
    </row>
    <row r="8">
      <c r="A8" s="2" t="inlineStr">
        <is>
          <t>Fees (vul je eigen waarden in)</t>
        </is>
      </c>
    </row>
    <row r="9">
      <c r="A9" s="5" t="inlineStr">
        <is>
          <t>Adspend fee % (van adspend)</t>
        </is>
      </c>
      <c r="B9" s="7" t="n">
        <v>0.04</v>
      </c>
    </row>
    <row r="10">
      <c r="A10" s="5" t="inlineStr">
        <is>
          <t>Checkify %</t>
        </is>
      </c>
      <c r="B10" s="7" t="n">
        <v>0.0065</v>
      </c>
    </row>
    <row r="11">
      <c r="A11" s="5" t="inlineStr">
        <is>
          <t xml:space="preserve">Stripe % </t>
        </is>
      </c>
      <c r="B11" s="7" t="n">
        <v>0</v>
      </c>
    </row>
    <row r="12">
      <c r="A12" s="5" t="inlineStr">
        <is>
          <t>Stripe vast p/order</t>
        </is>
      </c>
      <c r="B12" s="6" t="n">
        <v>0.32</v>
      </c>
    </row>
    <row r="13">
      <c r="A13" s="5" t="inlineStr">
        <is>
          <t>Shopify %</t>
        </is>
      </c>
      <c r="B13" s="7" t="n">
        <v>0.005</v>
      </c>
    </row>
    <row r="16">
      <c r="A16" s="2" t="inlineStr">
        <is>
          <t>DAGELIJKSE P&amp;L</t>
        </is>
      </c>
    </row>
    <row r="17">
      <c r="A17" s="8" t="inlineStr">
        <is>
          <t>Datum</t>
        </is>
      </c>
      <c r="B17" s="8" t="inlineStr">
        <is>
          <t>Adspend</t>
        </is>
      </c>
      <c r="C17" s="8" t="inlineStr">
        <is>
          <t>Omzet</t>
        </is>
      </c>
      <c r="D17" s="8" t="inlineStr">
        <is>
          <t># Orders</t>
        </is>
      </c>
      <c r="E17" s="8" t="inlineStr">
        <is>
          <t>COG totaal</t>
        </is>
      </c>
      <c r="F17" s="8" t="inlineStr">
        <is>
          <t>Fees totaal</t>
        </is>
      </c>
      <c r="G17" s="8" t="inlineStr">
        <is>
          <t>Winst</t>
        </is>
      </c>
      <c r="H17" s="8" t="inlineStr">
        <is>
          <t>ROAS</t>
        </is>
      </c>
      <c r="I17" s="8" t="inlineStr">
        <is>
          <t>Winstmarge</t>
        </is>
      </c>
    </row>
    <row r="18">
      <c r="A18" s="9" t="n">
        <v>46174</v>
      </c>
      <c r="B18" s="6" t="n"/>
      <c r="C18" s="6" t="n"/>
      <c r="D18" s="10" t="n"/>
      <c r="E18" s="6" t="n"/>
      <c r="F18" s="11">
        <f>IFERROR(B18*$B$9 + C18*($B$10+$B$11+$B$13) + D18*$B$12,0)</f>
        <v/>
      </c>
      <c r="G18" s="11">
        <f>C18-B18-E18-F18</f>
        <v/>
      </c>
      <c r="H18" s="12">
        <f>IFERROR(C18/B18,"-")</f>
        <v/>
      </c>
      <c r="I18" s="13">
        <f>IFERROR(G18/C18,"-")</f>
        <v/>
      </c>
    </row>
    <row r="19">
      <c r="A19" s="9" t="n">
        <v>46175</v>
      </c>
      <c r="B19" s="6" t="n"/>
      <c r="C19" s="6" t="n"/>
      <c r="D19" s="10" t="n"/>
      <c r="E19" s="6" t="n"/>
      <c r="F19" s="11">
        <f>IFERROR(B19*$B$9 + C19*($B$10+$B$11+$B$13) + D19*$B$12,0)</f>
        <v/>
      </c>
      <c r="G19" s="11">
        <f>C19-B19-E19-F19</f>
        <v/>
      </c>
      <c r="H19" s="12">
        <f>IFERROR(C19/B19,"-")</f>
        <v/>
      </c>
      <c r="I19" s="13">
        <f>IFERROR(G19/C19,"-")</f>
        <v/>
      </c>
    </row>
    <row r="20">
      <c r="A20" s="9" t="n">
        <v>46176</v>
      </c>
      <c r="B20" s="6" t="n"/>
      <c r="C20" s="6" t="n"/>
      <c r="D20" s="10" t="n"/>
      <c r="E20" s="6" t="n"/>
      <c r="F20" s="11">
        <f>IFERROR(B20*$B$9 + C20*($B$10+$B$11+$B$13) + D20*$B$12,0)</f>
        <v/>
      </c>
      <c r="G20" s="11">
        <f>C20-B20-E20-F20</f>
        <v/>
      </c>
      <c r="H20" s="12">
        <f>IFERROR(C20/B20,"-")</f>
        <v/>
      </c>
      <c r="I20" s="13">
        <f>IFERROR(G20/C20,"-")</f>
        <v/>
      </c>
    </row>
    <row r="21">
      <c r="A21" s="9" t="n">
        <v>46177</v>
      </c>
      <c r="B21" s="6" t="n"/>
      <c r="C21" s="6" t="n"/>
      <c r="D21" s="10" t="n"/>
      <c r="E21" s="6" t="n"/>
      <c r="F21" s="11">
        <f>IFERROR(B21*$B$9 + C21*($B$10+$B$11+$B$13) + D21*$B$12,0)</f>
        <v/>
      </c>
      <c r="G21" s="11">
        <f>C21-B21-E21-F21</f>
        <v/>
      </c>
      <c r="H21" s="12">
        <f>IFERROR(C21/B21,"-")</f>
        <v/>
      </c>
      <c r="I21" s="13">
        <f>IFERROR(G21/C21,"-")</f>
        <v/>
      </c>
    </row>
    <row r="22">
      <c r="A22" s="9" t="n">
        <v>46178</v>
      </c>
      <c r="B22" s="6" t="n"/>
      <c r="C22" s="6" t="n"/>
      <c r="D22" s="10" t="n"/>
      <c r="E22" s="6" t="n"/>
      <c r="F22" s="11">
        <f>IFERROR(B22*$B$9 + C22*($B$10+$B$11+$B$13) + D22*$B$12,0)</f>
        <v/>
      </c>
      <c r="G22" s="11">
        <f>C22-B22-E22-F22</f>
        <v/>
      </c>
      <c r="H22" s="12">
        <f>IFERROR(C22/B22,"-")</f>
        <v/>
      </c>
      <c r="I22" s="13">
        <f>IFERROR(G22/C22,"-")</f>
        <v/>
      </c>
    </row>
    <row r="23">
      <c r="A23" s="9" t="n">
        <v>46179</v>
      </c>
      <c r="B23" s="6" t="n"/>
      <c r="C23" s="6" t="n"/>
      <c r="D23" s="10" t="n"/>
      <c r="E23" s="6" t="n"/>
      <c r="F23" s="11">
        <f>IFERROR(B23*$B$9 + C23*($B$10+$B$11+$B$13) + D23*$B$12,0)</f>
        <v/>
      </c>
      <c r="G23" s="11">
        <f>C23-B23-E23-F23</f>
        <v/>
      </c>
      <c r="H23" s="12">
        <f>IFERROR(C23/B23,"-")</f>
        <v/>
      </c>
      <c r="I23" s="13">
        <f>IFERROR(G23/C23,"-")</f>
        <v/>
      </c>
    </row>
    <row r="24">
      <c r="A24" s="9" t="n">
        <v>46180</v>
      </c>
      <c r="B24" s="6" t="n"/>
      <c r="C24" s="6" t="n"/>
      <c r="D24" s="10" t="n"/>
      <c r="E24" s="6" t="n"/>
      <c r="F24" s="11">
        <f>IFERROR(B24*$B$9 + C24*($B$10+$B$11+$B$13) + D24*$B$12,0)</f>
        <v/>
      </c>
      <c r="G24" s="11">
        <f>C24-B24-E24-F24</f>
        <v/>
      </c>
      <c r="H24" s="12">
        <f>IFERROR(C24/B24,"-")</f>
        <v/>
      </c>
      <c r="I24" s="13">
        <f>IFERROR(G24/C24,"-")</f>
        <v/>
      </c>
    </row>
    <row r="25">
      <c r="A25" s="9" t="n">
        <v>46181</v>
      </c>
      <c r="B25" s="6" t="n"/>
      <c r="C25" s="6" t="n"/>
      <c r="D25" s="10" t="n"/>
      <c r="E25" s="6" t="n"/>
      <c r="F25" s="11">
        <f>IFERROR(B25*$B$9 + C25*($B$10+$B$11+$B$13) + D25*$B$12,0)</f>
        <v/>
      </c>
      <c r="G25" s="11">
        <f>C25-B25-E25-F25</f>
        <v/>
      </c>
      <c r="H25" s="12">
        <f>IFERROR(C25/B25,"-")</f>
        <v/>
      </c>
      <c r="I25" s="13">
        <f>IFERROR(G25/C25,"-")</f>
        <v/>
      </c>
    </row>
    <row r="26">
      <c r="A26" s="9" t="n">
        <v>46182</v>
      </c>
      <c r="B26" s="6" t="n"/>
      <c r="C26" s="6" t="n"/>
      <c r="D26" s="10" t="n"/>
      <c r="E26" s="6" t="n"/>
      <c r="F26" s="11">
        <f>IFERROR(B26*$B$9 + C26*($B$10+$B$11+$B$13) + D26*$B$12,0)</f>
        <v/>
      </c>
      <c r="G26" s="11">
        <f>C26-B26-E26-F26</f>
        <v/>
      </c>
      <c r="H26" s="12">
        <f>IFERROR(C26/B26,"-")</f>
        <v/>
      </c>
      <c r="I26" s="13">
        <f>IFERROR(G26/C26,"-")</f>
        <v/>
      </c>
    </row>
    <row r="27">
      <c r="A27" s="9" t="n">
        <v>46183</v>
      </c>
      <c r="B27" s="6" t="n"/>
      <c r="C27" s="6" t="n"/>
      <c r="D27" s="10" t="n"/>
      <c r="E27" s="6" t="n"/>
      <c r="F27" s="11">
        <f>IFERROR(B27*$B$9 + C27*($B$10+$B$11+$B$13) + D27*$B$12,0)</f>
        <v/>
      </c>
      <c r="G27" s="11">
        <f>C27-B27-E27-F27</f>
        <v/>
      </c>
      <c r="H27" s="12">
        <f>IFERROR(C27/B27,"-")</f>
        <v/>
      </c>
      <c r="I27" s="13">
        <f>IFERROR(G27/C27,"-")</f>
        <v/>
      </c>
    </row>
    <row r="28">
      <c r="A28" s="9" t="n">
        <v>46184</v>
      </c>
      <c r="B28" s="6" t="n"/>
      <c r="C28" s="6" t="n"/>
      <c r="D28" s="10" t="n"/>
      <c r="E28" s="6" t="n"/>
      <c r="F28" s="11">
        <f>IFERROR(B28*$B$9 + C28*($B$10+$B$11+$B$13) + D28*$B$12,0)</f>
        <v/>
      </c>
      <c r="G28" s="11">
        <f>C28-B28-E28-F28</f>
        <v/>
      </c>
      <c r="H28" s="12">
        <f>IFERROR(C28/B28,"-")</f>
        <v/>
      </c>
      <c r="I28" s="13">
        <f>IFERROR(G28/C28,"-")</f>
        <v/>
      </c>
    </row>
    <row r="29">
      <c r="A29" s="9" t="n">
        <v>46185</v>
      </c>
      <c r="B29" s="6" t="n"/>
      <c r="C29" s="6" t="n"/>
      <c r="D29" s="10" t="n"/>
      <c r="E29" s="6" t="n"/>
      <c r="F29" s="11">
        <f>IFERROR(B29*$B$9 + C29*($B$10+$B$11+$B$13) + D29*$B$12,0)</f>
        <v/>
      </c>
      <c r="G29" s="11">
        <f>C29-B29-E29-F29</f>
        <v/>
      </c>
      <c r="H29" s="12">
        <f>IFERROR(C29/B29,"-")</f>
        <v/>
      </c>
      <c r="I29" s="13">
        <f>IFERROR(G29/C29,"-")</f>
        <v/>
      </c>
    </row>
    <row r="30">
      <c r="A30" s="9" t="n">
        <v>46186</v>
      </c>
      <c r="B30" s="6" t="n"/>
      <c r="C30" s="6" t="n"/>
      <c r="D30" s="10" t="n"/>
      <c r="E30" s="6" t="n"/>
      <c r="F30" s="11">
        <f>IFERROR(B30*$B$9 + C30*($B$10+$B$11+$B$13) + D30*$B$12,0)</f>
        <v/>
      </c>
      <c r="G30" s="11">
        <f>C30-B30-E30-F30</f>
        <v/>
      </c>
      <c r="H30" s="12">
        <f>IFERROR(C30/B30,"-")</f>
        <v/>
      </c>
      <c r="I30" s="13">
        <f>IFERROR(G30/C30,"-")</f>
        <v/>
      </c>
    </row>
    <row r="31">
      <c r="A31" s="9" t="n">
        <v>46187</v>
      </c>
      <c r="B31" s="6" t="n"/>
      <c r="C31" s="6" t="n"/>
      <c r="D31" s="10" t="n"/>
      <c r="E31" s="6" t="n"/>
      <c r="F31" s="11">
        <f>IFERROR(B31*$B$9 + C31*($B$10+$B$11+$B$13) + D31*$B$12,0)</f>
        <v/>
      </c>
      <c r="G31" s="11">
        <f>C31-B31-E31-F31</f>
        <v/>
      </c>
      <c r="H31" s="12">
        <f>IFERROR(C31/B31,"-")</f>
        <v/>
      </c>
      <c r="I31" s="13">
        <f>IFERROR(G31/C31,"-")</f>
        <v/>
      </c>
    </row>
    <row r="32">
      <c r="A32" s="9" t="n">
        <v>46188</v>
      </c>
      <c r="B32" s="6" t="n"/>
      <c r="C32" s="6" t="n"/>
      <c r="D32" s="10" t="n"/>
      <c r="E32" s="6" t="n"/>
      <c r="F32" s="11">
        <f>IFERROR(B32*$B$9 + C32*($B$10+$B$11+$B$13) + D32*$B$12,0)</f>
        <v/>
      </c>
      <c r="G32" s="11">
        <f>C32-B32-E32-F32</f>
        <v/>
      </c>
      <c r="H32" s="12">
        <f>IFERROR(C32/B32,"-")</f>
        <v/>
      </c>
      <c r="I32" s="13">
        <f>IFERROR(G32/C32,"-")</f>
        <v/>
      </c>
    </row>
    <row r="33">
      <c r="A33" s="9" t="n">
        <v>46189</v>
      </c>
      <c r="B33" s="6" t="n"/>
      <c r="C33" s="6" t="n"/>
      <c r="D33" s="10" t="n"/>
      <c r="E33" s="6" t="n"/>
      <c r="F33" s="11">
        <f>IFERROR(B33*$B$9 + C33*($B$10+$B$11+$B$13) + D33*$B$12,0)</f>
        <v/>
      </c>
      <c r="G33" s="11">
        <f>C33-B33-E33-F33</f>
        <v/>
      </c>
      <c r="H33" s="12">
        <f>IFERROR(C33/B33,"-")</f>
        <v/>
      </c>
      <c r="I33" s="13">
        <f>IFERROR(G33/C33,"-")</f>
        <v/>
      </c>
    </row>
    <row r="34">
      <c r="A34" s="9" t="n">
        <v>46190</v>
      </c>
      <c r="B34" s="6" t="n"/>
      <c r="C34" s="6" t="n"/>
      <c r="D34" s="10" t="n"/>
      <c r="E34" s="6" t="n"/>
      <c r="F34" s="11">
        <f>IFERROR(B34*$B$9 + C34*($B$10+$B$11+$B$13) + D34*$B$12,0)</f>
        <v/>
      </c>
      <c r="G34" s="11">
        <f>C34-B34-E34-F34</f>
        <v/>
      </c>
      <c r="H34" s="12">
        <f>IFERROR(C34/B34,"-")</f>
        <v/>
      </c>
      <c r="I34" s="13">
        <f>IFERROR(G34/C34,"-")</f>
        <v/>
      </c>
    </row>
    <row r="35">
      <c r="A35" s="9" t="n">
        <v>46191</v>
      </c>
      <c r="B35" s="6" t="n"/>
      <c r="C35" s="6" t="n"/>
      <c r="D35" s="10" t="n"/>
      <c r="E35" s="6" t="n"/>
      <c r="F35" s="11">
        <f>IFERROR(B35*$B$9 + C35*($B$10+$B$11+$B$13) + D35*$B$12,0)</f>
        <v/>
      </c>
      <c r="G35" s="11">
        <f>C35-B35-E35-F35</f>
        <v/>
      </c>
      <c r="H35" s="12">
        <f>IFERROR(C35/B35,"-")</f>
        <v/>
      </c>
      <c r="I35" s="13">
        <f>IFERROR(G35/C35,"-")</f>
        <v/>
      </c>
    </row>
    <row r="36">
      <c r="A36" s="9" t="n">
        <v>46192</v>
      </c>
      <c r="B36" s="6" t="n"/>
      <c r="C36" s="6" t="n"/>
      <c r="D36" s="10" t="n"/>
      <c r="E36" s="6" t="n"/>
      <c r="F36" s="11">
        <f>IFERROR(B36*$B$9 + C36*($B$10+$B$11+$B$13) + D36*$B$12,0)</f>
        <v/>
      </c>
      <c r="G36" s="11">
        <f>C36-B36-E36-F36</f>
        <v/>
      </c>
      <c r="H36" s="12">
        <f>IFERROR(C36/B36,"-")</f>
        <v/>
      </c>
      <c r="I36" s="13">
        <f>IFERROR(G36/C36,"-")</f>
        <v/>
      </c>
    </row>
    <row r="37">
      <c r="A37" s="9" t="n">
        <v>46193</v>
      </c>
      <c r="B37" s="6" t="n"/>
      <c r="C37" s="6" t="n"/>
      <c r="D37" s="10" t="n"/>
      <c r="E37" s="6" t="n"/>
      <c r="F37" s="11">
        <f>IFERROR(B37*$B$9 + C37*($B$10+$B$11+$B$13) + D37*$B$12,0)</f>
        <v/>
      </c>
      <c r="G37" s="11">
        <f>C37-B37-E37-F37</f>
        <v/>
      </c>
      <c r="H37" s="12">
        <f>IFERROR(C37/B37,"-")</f>
        <v/>
      </c>
      <c r="I37" s="13">
        <f>IFERROR(G37/C37,"-")</f>
        <v/>
      </c>
    </row>
    <row r="38">
      <c r="A38" s="9" t="n">
        <v>46194</v>
      </c>
      <c r="B38" s="6" t="n"/>
      <c r="C38" s="6" t="n"/>
      <c r="D38" s="10" t="n"/>
      <c r="E38" s="6" t="n"/>
      <c r="F38" s="11">
        <f>IFERROR(B38*$B$9 + C38*($B$10+$B$11+$B$13) + D38*$B$12,0)</f>
        <v/>
      </c>
      <c r="G38" s="11">
        <f>C38-B38-E38-F38</f>
        <v/>
      </c>
      <c r="H38" s="12">
        <f>IFERROR(C38/B38,"-")</f>
        <v/>
      </c>
      <c r="I38" s="13">
        <f>IFERROR(G38/C38,"-")</f>
        <v/>
      </c>
    </row>
    <row r="39">
      <c r="A39" s="9" t="n">
        <v>46195</v>
      </c>
      <c r="B39" s="6" t="n"/>
      <c r="C39" s="6" t="n"/>
      <c r="D39" s="10" t="n"/>
      <c r="E39" s="6" t="n"/>
      <c r="F39" s="11">
        <f>IFERROR(B39*$B$9 + C39*($B$10+$B$11+$B$13) + D39*$B$12,0)</f>
        <v/>
      </c>
      <c r="G39" s="11">
        <f>C39-B39-E39-F39</f>
        <v/>
      </c>
      <c r="H39" s="12">
        <f>IFERROR(C39/B39,"-")</f>
        <v/>
      </c>
      <c r="I39" s="13">
        <f>IFERROR(G39/C39,"-")</f>
        <v/>
      </c>
    </row>
    <row r="40">
      <c r="A40" s="9" t="n">
        <v>46196</v>
      </c>
      <c r="B40" s="6" t="n"/>
      <c r="C40" s="6" t="n"/>
      <c r="D40" s="10" t="n"/>
      <c r="E40" s="6" t="n"/>
      <c r="F40" s="11">
        <f>IFERROR(B40*$B$9 + C40*($B$10+$B$11+$B$13) + D40*$B$12,0)</f>
        <v/>
      </c>
      <c r="G40" s="11">
        <f>C40-B40-E40-F40</f>
        <v/>
      </c>
      <c r="H40" s="12">
        <f>IFERROR(C40/B40,"-")</f>
        <v/>
      </c>
      <c r="I40" s="13">
        <f>IFERROR(G40/C40,"-")</f>
        <v/>
      </c>
    </row>
    <row r="41">
      <c r="A41" s="9" t="n">
        <v>46197</v>
      </c>
      <c r="B41" s="6" t="n"/>
      <c r="C41" s="6" t="n"/>
      <c r="D41" s="10" t="n"/>
      <c r="E41" s="6" t="n"/>
      <c r="F41" s="11">
        <f>IFERROR(B41*$B$9 + C41*($B$10+$B$11+$B$13) + D41*$B$12,0)</f>
        <v/>
      </c>
      <c r="G41" s="11">
        <f>C41-B41-E41-F41</f>
        <v/>
      </c>
      <c r="H41" s="12">
        <f>IFERROR(C41/B41,"-")</f>
        <v/>
      </c>
      <c r="I41" s="13">
        <f>IFERROR(G41/C41,"-")</f>
        <v/>
      </c>
    </row>
    <row r="42">
      <c r="A42" s="9" t="n">
        <v>46198</v>
      </c>
      <c r="B42" s="6" t="n"/>
      <c r="C42" s="6" t="n"/>
      <c r="D42" s="10" t="n"/>
      <c r="E42" s="6" t="n"/>
      <c r="F42" s="11">
        <f>IFERROR(B42*$B$9 + C42*($B$10+$B$11+$B$13) + D42*$B$12,0)</f>
        <v/>
      </c>
      <c r="G42" s="11">
        <f>C42-B42-E42-F42</f>
        <v/>
      </c>
      <c r="H42" s="12">
        <f>IFERROR(C42/B42,"-")</f>
        <v/>
      </c>
      <c r="I42" s="13">
        <f>IFERROR(G42/C42,"-")</f>
        <v/>
      </c>
    </row>
    <row r="43">
      <c r="A43" s="9" t="n">
        <v>46199</v>
      </c>
      <c r="B43" s="6" t="n"/>
      <c r="C43" s="6" t="n"/>
      <c r="D43" s="10" t="n"/>
      <c r="E43" s="6" t="n"/>
      <c r="F43" s="11">
        <f>IFERROR(B43*$B$9 + C43*($B$10+$B$11+$B$13) + D43*$B$12,0)</f>
        <v/>
      </c>
      <c r="G43" s="11">
        <f>C43-B43-E43-F43</f>
        <v/>
      </c>
      <c r="H43" s="12">
        <f>IFERROR(C43/B43,"-")</f>
        <v/>
      </c>
      <c r="I43" s="13">
        <f>IFERROR(G43/C43,"-")</f>
        <v/>
      </c>
    </row>
    <row r="44">
      <c r="A44" s="9" t="n">
        <v>46200</v>
      </c>
      <c r="B44" s="6" t="n"/>
      <c r="C44" s="6" t="n"/>
      <c r="D44" s="10" t="n"/>
      <c r="E44" s="6" t="n"/>
      <c r="F44" s="11">
        <f>IFERROR(B44*$B$9 + C44*($B$10+$B$11+$B$13) + D44*$B$12,0)</f>
        <v/>
      </c>
      <c r="G44" s="11">
        <f>C44-B44-E44-F44</f>
        <v/>
      </c>
      <c r="H44" s="12">
        <f>IFERROR(C44/B44,"-")</f>
        <v/>
      </c>
      <c r="I44" s="13">
        <f>IFERROR(G44/C44,"-")</f>
        <v/>
      </c>
    </row>
    <row r="45">
      <c r="A45" s="9" t="n">
        <v>46201</v>
      </c>
      <c r="B45" s="6" t="n"/>
      <c r="C45" s="6" t="n"/>
      <c r="D45" s="10" t="n"/>
      <c r="E45" s="6" t="n"/>
      <c r="F45" s="11">
        <f>IFERROR(B45*$B$9 + C45*($B$10+$B$11+$B$13) + D45*$B$12,0)</f>
        <v/>
      </c>
      <c r="G45" s="11">
        <f>C45-B45-E45-F45</f>
        <v/>
      </c>
      <c r="H45" s="12">
        <f>IFERROR(C45/B45,"-")</f>
        <v/>
      </c>
      <c r="I45" s="13">
        <f>IFERROR(G45/C45,"-")</f>
        <v/>
      </c>
    </row>
    <row r="46">
      <c r="A46" s="9" t="n">
        <v>46202</v>
      </c>
      <c r="B46" s="6" t="n"/>
      <c r="C46" s="6" t="n"/>
      <c r="D46" s="10" t="n"/>
      <c r="E46" s="6" t="n"/>
      <c r="F46" s="11">
        <f>IFERROR(B46*$B$9 + C46*($B$10+$B$11+$B$13) + D46*$B$12,0)</f>
        <v/>
      </c>
      <c r="G46" s="11">
        <f>C46-B46-E46-F46</f>
        <v/>
      </c>
      <c r="H46" s="12">
        <f>IFERROR(C46/B46,"-")</f>
        <v/>
      </c>
      <c r="I46" s="13">
        <f>IFERROR(G46/C46,"-")</f>
        <v/>
      </c>
    </row>
    <row r="47">
      <c r="A47" s="9" t="n">
        <v>46203</v>
      </c>
      <c r="B47" s="6" t="n"/>
      <c r="C47" s="6" t="n"/>
      <c r="D47" s="10" t="n"/>
      <c r="E47" s="6" t="n"/>
      <c r="F47" s="11">
        <f>IFERROR(B47*$B$9 + C47*($B$10+$B$11+$B$13) + D47*$B$12,0)</f>
        <v/>
      </c>
      <c r="G47" s="11">
        <f>C47-B47-E47-F47</f>
        <v/>
      </c>
      <c r="H47" s="12">
        <f>IFERROR(C47/B47,"-")</f>
        <v/>
      </c>
      <c r="I47" s="13">
        <f>IFERROR(G47/C47,"-")</f>
        <v/>
      </c>
    </row>
    <row r="48">
      <c r="A48" s="14" t="inlineStr">
        <is>
          <t>TOTAAL</t>
        </is>
      </c>
      <c r="B48" s="15">
        <f>SUM(B18:B47)</f>
        <v/>
      </c>
      <c r="C48" s="15">
        <f>SUM(C18:C47)</f>
        <v/>
      </c>
      <c r="D48" s="16">
        <f>SUM(D18:D47)</f>
        <v/>
      </c>
      <c r="E48" s="15">
        <f>SUM(E18:E47)</f>
        <v/>
      </c>
      <c r="F48" s="15">
        <f>SUM(F18:F47)</f>
        <v/>
      </c>
      <c r="G48" s="15">
        <f>SUM(G18:G47)</f>
        <v/>
      </c>
      <c r="H48" s="17">
        <f>IFERROR(C48/B48,"-")</f>
        <v/>
      </c>
      <c r="I48" s="18">
        <f>IFERROR(G48/C48,"-")</f>
        <v/>
      </c>
    </row>
    <row r="50">
      <c r="A50" s="19" t="inlineStr">
        <is>
          <t>Geel = zelf invullen. Vul per dag Adspend, Omzet, #Orders en COG totaal in. Adspend fee = 4% van de adspend. Fees, Winst, ROAS en Winstmarge rekenen automatisch.</t>
        </is>
      </c>
    </row>
  </sheetData>
  <mergeCells count="5">
    <mergeCell ref="A3:H3"/>
    <mergeCell ref="A1:H1"/>
    <mergeCell ref="A50:I50"/>
    <mergeCell ref="A8:H8"/>
    <mergeCell ref="A16:I16"/>
  </mergeCells>
  <conditionalFormatting sqref="G18:G4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18:I4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1" customWidth="1" min="4" max="4"/>
    <col width="14" customWidth="1" min="5" max="5"/>
    <col width="13" customWidth="1" min="6" max="6"/>
    <col width="13" customWidth="1" min="7" max="7"/>
    <col width="10" customWidth="1" min="8" max="8"/>
    <col width="12" customWidth="1" min="9" max="9"/>
  </cols>
  <sheetData>
    <row r="1" ht="19.5" customHeight="1">
      <c r="A1" s="1" t="inlineStr">
        <is>
          <t>Goatly P&amp;L</t>
        </is>
      </c>
    </row>
    <row r="3">
      <c r="A3" s="2" t="inlineStr">
        <is>
          <t>INKOOP / COG per product (vul je eigen bedragen in)</t>
        </is>
      </c>
    </row>
    <row r="4">
      <c r="A4" s="3" t="n"/>
      <c r="B4" s="4" t="inlineStr">
        <is>
          <t>P1 (1 zak)</t>
        </is>
      </c>
      <c r="C4" s="4" t="inlineStr">
        <is>
          <t>P3 (2+1)</t>
        </is>
      </c>
      <c r="D4" s="4" t="inlineStr">
        <is>
          <t>P5 (3+2)</t>
        </is>
      </c>
    </row>
    <row r="5">
      <c r="A5" s="5" t="inlineStr">
        <is>
          <t>Verkoopprijs</t>
        </is>
      </c>
      <c r="B5" s="6" t="n">
        <v>39.95</v>
      </c>
      <c r="C5" s="6" t="n">
        <v>69.95</v>
      </c>
      <c r="D5" s="6" t="n">
        <v>109.95</v>
      </c>
    </row>
    <row r="6">
      <c r="A6" s="5" t="inlineStr">
        <is>
          <t>Inkoop (COG)</t>
        </is>
      </c>
      <c r="B6" s="6" t="n">
        <v>13.34</v>
      </c>
      <c r="C6" s="6" t="n">
        <v>25.28</v>
      </c>
      <c r="D6" s="6" t="n">
        <v>37.74</v>
      </c>
    </row>
    <row r="8">
      <c r="A8" s="2" t="inlineStr">
        <is>
          <t>Fees (vul je eigen waarden in)</t>
        </is>
      </c>
    </row>
    <row r="9">
      <c r="A9" s="5" t="inlineStr">
        <is>
          <t>Adspend fee % (van adspend)</t>
        </is>
      </c>
      <c r="B9" s="7" t="n">
        <v>0.04</v>
      </c>
    </row>
    <row r="10">
      <c r="A10" s="5" t="inlineStr">
        <is>
          <t>Checkify %</t>
        </is>
      </c>
      <c r="B10" s="7" t="n">
        <v>0.0065</v>
      </c>
    </row>
    <row r="11">
      <c r="A11" s="5" t="inlineStr">
        <is>
          <t xml:space="preserve">Stripe % </t>
        </is>
      </c>
      <c r="B11" s="7" t="n">
        <v>0</v>
      </c>
    </row>
    <row r="12">
      <c r="A12" s="5" t="inlineStr">
        <is>
          <t>Stripe vast p/order</t>
        </is>
      </c>
      <c r="B12" s="6" t="n">
        <v>0.32</v>
      </c>
    </row>
    <row r="13">
      <c r="A13" s="5" t="inlineStr">
        <is>
          <t>Shopify %</t>
        </is>
      </c>
      <c r="B13" s="7" t="n">
        <v>0.005</v>
      </c>
    </row>
    <row r="16">
      <c r="A16" s="2" t="inlineStr">
        <is>
          <t>DAGELIJKSE P&amp;L</t>
        </is>
      </c>
    </row>
    <row r="17">
      <c r="A17" s="8" t="inlineStr">
        <is>
          <t>Datum</t>
        </is>
      </c>
      <c r="B17" s="8" t="inlineStr">
        <is>
          <t>Adspend</t>
        </is>
      </c>
      <c r="C17" s="8" t="inlineStr">
        <is>
          <t>Omzet</t>
        </is>
      </c>
      <c r="D17" s="8" t="inlineStr">
        <is>
          <t># Orders</t>
        </is>
      </c>
      <c r="E17" s="8" t="inlineStr">
        <is>
          <t>COG totaal</t>
        </is>
      </c>
      <c r="F17" s="8" t="inlineStr">
        <is>
          <t>Fees totaal</t>
        </is>
      </c>
      <c r="G17" s="8" t="inlineStr">
        <is>
          <t>Winst</t>
        </is>
      </c>
      <c r="H17" s="8" t="inlineStr">
        <is>
          <t>ROAS</t>
        </is>
      </c>
      <c r="I17" s="8" t="inlineStr">
        <is>
          <t>Winstmarge</t>
        </is>
      </c>
    </row>
    <row r="18">
      <c r="A18" s="9" t="n">
        <v>46204</v>
      </c>
      <c r="B18" s="6" t="n"/>
      <c r="C18" s="6" t="n"/>
      <c r="D18" s="10" t="n"/>
      <c r="E18" s="6" t="n"/>
      <c r="F18" s="11">
        <f>IFERROR(B18*$B$9 + C18*($B$10+$B$11+$B$13) + D18*$B$12,0)</f>
        <v/>
      </c>
      <c r="G18" s="11">
        <f>C18-B18-E18-F18</f>
        <v/>
      </c>
      <c r="H18" s="12">
        <f>IFERROR(C18/B18,"-")</f>
        <v/>
      </c>
      <c r="I18" s="13">
        <f>IFERROR(G18/C18,"-")</f>
        <v/>
      </c>
    </row>
    <row r="19">
      <c r="A19" s="9" t="n">
        <v>46205</v>
      </c>
      <c r="B19" s="6" t="n"/>
      <c r="C19" s="6" t="n"/>
      <c r="D19" s="10" t="n"/>
      <c r="E19" s="6" t="n"/>
      <c r="F19" s="11">
        <f>IFERROR(B19*$B$9 + C19*($B$10+$B$11+$B$13) + D19*$B$12,0)</f>
        <v/>
      </c>
      <c r="G19" s="11">
        <f>C19-B19-E19-F19</f>
        <v/>
      </c>
      <c r="H19" s="12">
        <f>IFERROR(C19/B19,"-")</f>
        <v/>
      </c>
      <c r="I19" s="13">
        <f>IFERROR(G19/C19,"-")</f>
        <v/>
      </c>
    </row>
    <row r="20">
      <c r="A20" s="9" t="n">
        <v>46206</v>
      </c>
      <c r="B20" s="6" t="n"/>
      <c r="C20" s="6" t="n"/>
      <c r="D20" s="10" t="n"/>
      <c r="E20" s="6" t="n"/>
      <c r="F20" s="11">
        <f>IFERROR(B20*$B$9 + C20*($B$10+$B$11+$B$13) + D20*$B$12,0)</f>
        <v/>
      </c>
      <c r="G20" s="11">
        <f>C20-B20-E20-F20</f>
        <v/>
      </c>
      <c r="H20" s="12">
        <f>IFERROR(C20/B20,"-")</f>
        <v/>
      </c>
      <c r="I20" s="13">
        <f>IFERROR(G20/C20,"-")</f>
        <v/>
      </c>
    </row>
    <row r="21">
      <c r="A21" s="9" t="n">
        <v>46207</v>
      </c>
      <c r="B21" s="6" t="n"/>
      <c r="C21" s="6" t="n"/>
      <c r="D21" s="10" t="n"/>
      <c r="E21" s="6" t="n"/>
      <c r="F21" s="11">
        <f>IFERROR(B21*$B$9 + C21*($B$10+$B$11+$B$13) + D21*$B$12,0)</f>
        <v/>
      </c>
      <c r="G21" s="11">
        <f>C21-B21-E21-F21</f>
        <v/>
      </c>
      <c r="H21" s="12">
        <f>IFERROR(C21/B21,"-")</f>
        <v/>
      </c>
      <c r="I21" s="13">
        <f>IFERROR(G21/C21,"-")</f>
        <v/>
      </c>
    </row>
    <row r="22">
      <c r="A22" s="9" t="n">
        <v>46208</v>
      </c>
      <c r="B22" s="6" t="n"/>
      <c r="C22" s="6" t="n"/>
      <c r="D22" s="10" t="n"/>
      <c r="E22" s="6" t="n"/>
      <c r="F22" s="11">
        <f>IFERROR(B22*$B$9 + C22*($B$10+$B$11+$B$13) + D22*$B$12,0)</f>
        <v/>
      </c>
      <c r="G22" s="11">
        <f>C22-B22-E22-F22</f>
        <v/>
      </c>
      <c r="H22" s="12">
        <f>IFERROR(C22/B22,"-")</f>
        <v/>
      </c>
      <c r="I22" s="13">
        <f>IFERROR(G22/C22,"-")</f>
        <v/>
      </c>
    </row>
    <row r="23">
      <c r="A23" s="9" t="n">
        <v>46209</v>
      </c>
      <c r="B23" s="6" t="n"/>
      <c r="C23" s="6" t="n"/>
      <c r="D23" s="10" t="n"/>
      <c r="E23" s="6" t="n"/>
      <c r="F23" s="11">
        <f>IFERROR(B23*$B$9 + C23*($B$10+$B$11+$B$13) + D23*$B$12,0)</f>
        <v/>
      </c>
      <c r="G23" s="11">
        <f>C23-B23-E23-F23</f>
        <v/>
      </c>
      <c r="H23" s="12">
        <f>IFERROR(C23/B23,"-")</f>
        <v/>
      </c>
      <c r="I23" s="13">
        <f>IFERROR(G23/C23,"-")</f>
        <v/>
      </c>
    </row>
    <row r="24">
      <c r="A24" s="9" t="n">
        <v>46210</v>
      </c>
      <c r="B24" s="6" t="n"/>
      <c r="C24" s="6" t="n"/>
      <c r="D24" s="10" t="n"/>
      <c r="E24" s="6" t="n"/>
      <c r="F24" s="11">
        <f>IFERROR(B24*$B$9 + C24*($B$10+$B$11+$B$13) + D24*$B$12,0)</f>
        <v/>
      </c>
      <c r="G24" s="11">
        <f>C24-B24-E24-F24</f>
        <v/>
      </c>
      <c r="H24" s="12">
        <f>IFERROR(C24/B24,"-")</f>
        <v/>
      </c>
      <c r="I24" s="13">
        <f>IFERROR(G24/C24,"-")</f>
        <v/>
      </c>
    </row>
    <row r="25">
      <c r="A25" s="9" t="n">
        <v>46211</v>
      </c>
      <c r="B25" s="6" t="n"/>
      <c r="C25" s="6" t="n"/>
      <c r="D25" s="10" t="n"/>
      <c r="E25" s="6" t="n"/>
      <c r="F25" s="11">
        <f>IFERROR(B25*$B$9 + C25*($B$10+$B$11+$B$13) + D25*$B$12,0)</f>
        <v/>
      </c>
      <c r="G25" s="11">
        <f>C25-B25-E25-F25</f>
        <v/>
      </c>
      <c r="H25" s="12">
        <f>IFERROR(C25/B25,"-")</f>
        <v/>
      </c>
      <c r="I25" s="13">
        <f>IFERROR(G25/C25,"-")</f>
        <v/>
      </c>
    </row>
    <row r="26">
      <c r="A26" s="9" t="n">
        <v>46212</v>
      </c>
      <c r="B26" s="6" t="n"/>
      <c r="C26" s="6" t="n"/>
      <c r="D26" s="10" t="n"/>
      <c r="E26" s="6" t="n"/>
      <c r="F26" s="11">
        <f>IFERROR(B26*$B$9 + C26*($B$10+$B$11+$B$13) + D26*$B$12,0)</f>
        <v/>
      </c>
      <c r="G26" s="11">
        <f>C26-B26-E26-F26</f>
        <v/>
      </c>
      <c r="H26" s="12">
        <f>IFERROR(C26/B26,"-")</f>
        <v/>
      </c>
      <c r="I26" s="13">
        <f>IFERROR(G26/C26,"-")</f>
        <v/>
      </c>
    </row>
    <row r="27">
      <c r="A27" s="9" t="n">
        <v>46213</v>
      </c>
      <c r="B27" s="6" t="n"/>
      <c r="C27" s="6" t="n"/>
      <c r="D27" s="10" t="n"/>
      <c r="E27" s="6" t="n"/>
      <c r="F27" s="11">
        <f>IFERROR(B27*$B$9 + C27*($B$10+$B$11+$B$13) + D27*$B$12,0)</f>
        <v/>
      </c>
      <c r="G27" s="11">
        <f>C27-B27-E27-F27</f>
        <v/>
      </c>
      <c r="H27" s="12">
        <f>IFERROR(C27/B27,"-")</f>
        <v/>
      </c>
      <c r="I27" s="13">
        <f>IFERROR(G27/C27,"-")</f>
        <v/>
      </c>
    </row>
    <row r="28">
      <c r="A28" s="9" t="n">
        <v>46214</v>
      </c>
      <c r="B28" s="6" t="n"/>
      <c r="C28" s="6" t="n"/>
      <c r="D28" s="10" t="n"/>
      <c r="E28" s="6" t="n"/>
      <c r="F28" s="11">
        <f>IFERROR(B28*$B$9 + C28*($B$10+$B$11+$B$13) + D28*$B$12,0)</f>
        <v/>
      </c>
      <c r="G28" s="11">
        <f>C28-B28-E28-F28</f>
        <v/>
      </c>
      <c r="H28" s="12">
        <f>IFERROR(C28/B28,"-")</f>
        <v/>
      </c>
      <c r="I28" s="13">
        <f>IFERROR(G28/C28,"-")</f>
        <v/>
      </c>
    </row>
    <row r="29">
      <c r="A29" s="9" t="n">
        <v>46215</v>
      </c>
      <c r="B29" s="6" t="n"/>
      <c r="C29" s="6" t="n"/>
      <c r="D29" s="10" t="n"/>
      <c r="E29" s="6" t="n"/>
      <c r="F29" s="11">
        <f>IFERROR(B29*$B$9 + C29*($B$10+$B$11+$B$13) + D29*$B$12,0)</f>
        <v/>
      </c>
      <c r="G29" s="11">
        <f>C29-B29-E29-F29</f>
        <v/>
      </c>
      <c r="H29" s="12">
        <f>IFERROR(C29/B29,"-")</f>
        <v/>
      </c>
      <c r="I29" s="13">
        <f>IFERROR(G29/C29,"-")</f>
        <v/>
      </c>
    </row>
    <row r="30">
      <c r="A30" s="9" t="n">
        <v>46216</v>
      </c>
      <c r="B30" s="6" t="n"/>
      <c r="C30" s="6" t="n"/>
      <c r="D30" s="10" t="n"/>
      <c r="E30" s="6" t="n"/>
      <c r="F30" s="11">
        <f>IFERROR(B30*$B$9 + C30*($B$10+$B$11+$B$13) + D30*$B$12,0)</f>
        <v/>
      </c>
      <c r="G30" s="11">
        <f>C30-B30-E30-F30</f>
        <v/>
      </c>
      <c r="H30" s="12">
        <f>IFERROR(C30/B30,"-")</f>
        <v/>
      </c>
      <c r="I30" s="13">
        <f>IFERROR(G30/C30,"-")</f>
        <v/>
      </c>
    </row>
    <row r="31">
      <c r="A31" s="9" t="n">
        <v>46217</v>
      </c>
      <c r="B31" s="6" t="n"/>
      <c r="C31" s="6" t="n"/>
      <c r="D31" s="10" t="n"/>
      <c r="E31" s="6" t="n"/>
      <c r="F31" s="11">
        <f>IFERROR(B31*$B$9 + C31*($B$10+$B$11+$B$13) + D31*$B$12,0)</f>
        <v/>
      </c>
      <c r="G31" s="11">
        <f>C31-B31-E31-F31</f>
        <v/>
      </c>
      <c r="H31" s="12">
        <f>IFERROR(C31/B31,"-")</f>
        <v/>
      </c>
      <c r="I31" s="13">
        <f>IFERROR(G31/C31,"-")</f>
        <v/>
      </c>
    </row>
    <row r="32">
      <c r="A32" s="9" t="n">
        <v>46218</v>
      </c>
      <c r="B32" s="6" t="n"/>
      <c r="C32" s="6" t="n"/>
      <c r="D32" s="10" t="n"/>
      <c r="E32" s="6" t="n"/>
      <c r="F32" s="11">
        <f>IFERROR(B32*$B$9 + C32*($B$10+$B$11+$B$13) + D32*$B$12,0)</f>
        <v/>
      </c>
      <c r="G32" s="11">
        <f>C32-B32-E32-F32</f>
        <v/>
      </c>
      <c r="H32" s="12">
        <f>IFERROR(C32/B32,"-")</f>
        <v/>
      </c>
      <c r="I32" s="13">
        <f>IFERROR(G32/C32,"-")</f>
        <v/>
      </c>
    </row>
    <row r="33">
      <c r="A33" s="9" t="n">
        <v>46219</v>
      </c>
      <c r="B33" s="6" t="n"/>
      <c r="C33" s="6" t="n"/>
      <c r="D33" s="10" t="n"/>
      <c r="E33" s="6" t="n"/>
      <c r="F33" s="11">
        <f>IFERROR(B33*$B$9 + C33*($B$10+$B$11+$B$13) + D33*$B$12,0)</f>
        <v/>
      </c>
      <c r="G33" s="11">
        <f>C33-B33-E33-F33</f>
        <v/>
      </c>
      <c r="H33" s="12">
        <f>IFERROR(C33/B33,"-")</f>
        <v/>
      </c>
      <c r="I33" s="13">
        <f>IFERROR(G33/C33,"-")</f>
        <v/>
      </c>
    </row>
    <row r="34">
      <c r="A34" s="9" t="n">
        <v>46220</v>
      </c>
      <c r="B34" s="6" t="n"/>
      <c r="C34" s="6" t="n"/>
      <c r="D34" s="10" t="n"/>
      <c r="E34" s="6" t="n"/>
      <c r="F34" s="11">
        <f>IFERROR(B34*$B$9 + C34*($B$10+$B$11+$B$13) + D34*$B$12,0)</f>
        <v/>
      </c>
      <c r="G34" s="11">
        <f>C34-B34-E34-F34</f>
        <v/>
      </c>
      <c r="H34" s="12">
        <f>IFERROR(C34/B34,"-")</f>
        <v/>
      </c>
      <c r="I34" s="13">
        <f>IFERROR(G34/C34,"-")</f>
        <v/>
      </c>
    </row>
    <row r="35">
      <c r="A35" s="9" t="n">
        <v>46221</v>
      </c>
      <c r="B35" s="6" t="n"/>
      <c r="C35" s="6" t="n"/>
      <c r="D35" s="10" t="n"/>
      <c r="E35" s="6" t="n"/>
      <c r="F35" s="11">
        <f>IFERROR(B35*$B$9 + C35*($B$10+$B$11+$B$13) + D35*$B$12,0)</f>
        <v/>
      </c>
      <c r="G35" s="11">
        <f>C35-B35-E35-F35</f>
        <v/>
      </c>
      <c r="H35" s="12">
        <f>IFERROR(C35/B35,"-")</f>
        <v/>
      </c>
      <c r="I35" s="13">
        <f>IFERROR(G35/C35,"-")</f>
        <v/>
      </c>
    </row>
    <row r="36">
      <c r="A36" s="9" t="n">
        <v>46222</v>
      </c>
      <c r="B36" s="6" t="n"/>
      <c r="C36" s="6" t="n"/>
      <c r="D36" s="10" t="n"/>
      <c r="E36" s="6" t="n"/>
      <c r="F36" s="11">
        <f>IFERROR(B36*$B$9 + C36*($B$10+$B$11+$B$13) + D36*$B$12,0)</f>
        <v/>
      </c>
      <c r="G36" s="11">
        <f>C36-B36-E36-F36</f>
        <v/>
      </c>
      <c r="H36" s="12">
        <f>IFERROR(C36/B36,"-")</f>
        <v/>
      </c>
      <c r="I36" s="13">
        <f>IFERROR(G36/C36,"-")</f>
        <v/>
      </c>
    </row>
    <row r="37">
      <c r="A37" s="9" t="n">
        <v>46223</v>
      </c>
      <c r="B37" s="6" t="n"/>
      <c r="C37" s="6" t="n"/>
      <c r="D37" s="10" t="n"/>
      <c r="E37" s="6" t="n"/>
      <c r="F37" s="11">
        <f>IFERROR(B37*$B$9 + C37*($B$10+$B$11+$B$13) + D37*$B$12,0)</f>
        <v/>
      </c>
      <c r="G37" s="11">
        <f>C37-B37-E37-F37</f>
        <v/>
      </c>
      <c r="H37" s="12">
        <f>IFERROR(C37/B37,"-")</f>
        <v/>
      </c>
      <c r="I37" s="13">
        <f>IFERROR(G37/C37,"-")</f>
        <v/>
      </c>
    </row>
    <row r="38">
      <c r="A38" s="9" t="n">
        <v>46224</v>
      </c>
      <c r="B38" s="6" t="n"/>
      <c r="C38" s="6" t="n"/>
      <c r="D38" s="10" t="n"/>
      <c r="E38" s="6" t="n"/>
      <c r="F38" s="11">
        <f>IFERROR(B38*$B$9 + C38*($B$10+$B$11+$B$13) + D38*$B$12,0)</f>
        <v/>
      </c>
      <c r="G38" s="11">
        <f>C38-B38-E38-F38</f>
        <v/>
      </c>
      <c r="H38" s="12">
        <f>IFERROR(C38/B38,"-")</f>
        <v/>
      </c>
      <c r="I38" s="13">
        <f>IFERROR(G38/C38,"-")</f>
        <v/>
      </c>
    </row>
    <row r="39">
      <c r="A39" s="9" t="n">
        <v>46225</v>
      </c>
      <c r="B39" s="6" t="n"/>
      <c r="C39" s="6" t="n"/>
      <c r="D39" s="10" t="n"/>
      <c r="E39" s="6" t="n"/>
      <c r="F39" s="11">
        <f>IFERROR(B39*$B$9 + C39*($B$10+$B$11+$B$13) + D39*$B$12,0)</f>
        <v/>
      </c>
      <c r="G39" s="11">
        <f>C39-B39-E39-F39</f>
        <v/>
      </c>
      <c r="H39" s="12">
        <f>IFERROR(C39/B39,"-")</f>
        <v/>
      </c>
      <c r="I39" s="13">
        <f>IFERROR(G39/C39,"-")</f>
        <v/>
      </c>
    </row>
    <row r="40">
      <c r="A40" s="9" t="n">
        <v>46226</v>
      </c>
      <c r="B40" s="6" t="n"/>
      <c r="C40" s="6" t="n"/>
      <c r="D40" s="10" t="n"/>
      <c r="E40" s="6" t="n"/>
      <c r="F40" s="11">
        <f>IFERROR(B40*$B$9 + C40*($B$10+$B$11+$B$13) + D40*$B$12,0)</f>
        <v/>
      </c>
      <c r="G40" s="11">
        <f>C40-B40-E40-F40</f>
        <v/>
      </c>
      <c r="H40" s="12">
        <f>IFERROR(C40/B40,"-")</f>
        <v/>
      </c>
      <c r="I40" s="13">
        <f>IFERROR(G40/C40,"-")</f>
        <v/>
      </c>
    </row>
    <row r="41">
      <c r="A41" s="9" t="n">
        <v>46227</v>
      </c>
      <c r="B41" s="6" t="n"/>
      <c r="C41" s="6" t="n"/>
      <c r="D41" s="10" t="n"/>
      <c r="E41" s="6" t="n"/>
      <c r="F41" s="11">
        <f>IFERROR(B41*$B$9 + C41*($B$10+$B$11+$B$13) + D41*$B$12,0)</f>
        <v/>
      </c>
      <c r="G41" s="11">
        <f>C41-B41-E41-F41</f>
        <v/>
      </c>
      <c r="H41" s="12">
        <f>IFERROR(C41/B41,"-")</f>
        <v/>
      </c>
      <c r="I41" s="13">
        <f>IFERROR(G41/C41,"-")</f>
        <v/>
      </c>
    </row>
    <row r="42">
      <c r="A42" s="9" t="n">
        <v>46228</v>
      </c>
      <c r="B42" s="6" t="n"/>
      <c r="C42" s="6" t="n"/>
      <c r="D42" s="10" t="n"/>
      <c r="E42" s="6" t="n"/>
      <c r="F42" s="11">
        <f>IFERROR(B42*$B$9 + C42*($B$10+$B$11+$B$13) + D42*$B$12,0)</f>
        <v/>
      </c>
      <c r="G42" s="11">
        <f>C42-B42-E42-F42</f>
        <v/>
      </c>
      <c r="H42" s="12">
        <f>IFERROR(C42/B42,"-")</f>
        <v/>
      </c>
      <c r="I42" s="13">
        <f>IFERROR(G42/C42,"-")</f>
        <v/>
      </c>
    </row>
    <row r="43">
      <c r="A43" s="9" t="n">
        <v>46229</v>
      </c>
      <c r="B43" s="6" t="n"/>
      <c r="C43" s="6" t="n"/>
      <c r="D43" s="10" t="n"/>
      <c r="E43" s="6" t="n"/>
      <c r="F43" s="11">
        <f>IFERROR(B43*$B$9 + C43*($B$10+$B$11+$B$13) + D43*$B$12,0)</f>
        <v/>
      </c>
      <c r="G43" s="11">
        <f>C43-B43-E43-F43</f>
        <v/>
      </c>
      <c r="H43" s="12">
        <f>IFERROR(C43/B43,"-")</f>
        <v/>
      </c>
      <c r="I43" s="13">
        <f>IFERROR(G43/C43,"-")</f>
        <v/>
      </c>
    </row>
    <row r="44">
      <c r="A44" s="9" t="n">
        <v>46230</v>
      </c>
      <c r="B44" s="6" t="n"/>
      <c r="C44" s="6" t="n"/>
      <c r="D44" s="10" t="n"/>
      <c r="E44" s="6" t="n"/>
      <c r="F44" s="11">
        <f>IFERROR(B44*$B$9 + C44*($B$10+$B$11+$B$13) + D44*$B$12,0)</f>
        <v/>
      </c>
      <c r="G44" s="11">
        <f>C44-B44-E44-F44</f>
        <v/>
      </c>
      <c r="H44" s="12">
        <f>IFERROR(C44/B44,"-")</f>
        <v/>
      </c>
      <c r="I44" s="13">
        <f>IFERROR(G44/C44,"-")</f>
        <v/>
      </c>
    </row>
    <row r="45">
      <c r="A45" s="9" t="n">
        <v>46231</v>
      </c>
      <c r="B45" s="6" t="n"/>
      <c r="C45" s="6" t="n"/>
      <c r="D45" s="10" t="n"/>
      <c r="E45" s="6" t="n"/>
      <c r="F45" s="11">
        <f>IFERROR(B45*$B$9 + C45*($B$10+$B$11+$B$13) + D45*$B$12,0)</f>
        <v/>
      </c>
      <c r="G45" s="11">
        <f>C45-B45-E45-F45</f>
        <v/>
      </c>
      <c r="H45" s="12">
        <f>IFERROR(C45/B45,"-")</f>
        <v/>
      </c>
      <c r="I45" s="13">
        <f>IFERROR(G45/C45,"-")</f>
        <v/>
      </c>
    </row>
    <row r="46">
      <c r="A46" s="9" t="n">
        <v>46232</v>
      </c>
      <c r="B46" s="6" t="n"/>
      <c r="C46" s="6" t="n"/>
      <c r="D46" s="10" t="n"/>
      <c r="E46" s="6" t="n"/>
      <c r="F46" s="11">
        <f>IFERROR(B46*$B$9 + C46*($B$10+$B$11+$B$13) + D46*$B$12,0)</f>
        <v/>
      </c>
      <c r="G46" s="11">
        <f>C46-B46-E46-F46</f>
        <v/>
      </c>
      <c r="H46" s="12">
        <f>IFERROR(C46/B46,"-")</f>
        <v/>
      </c>
      <c r="I46" s="13">
        <f>IFERROR(G46/C46,"-")</f>
        <v/>
      </c>
    </row>
    <row r="47">
      <c r="A47" s="9" t="n">
        <v>46233</v>
      </c>
      <c r="B47" s="6" t="n"/>
      <c r="C47" s="6" t="n"/>
      <c r="D47" s="10" t="n"/>
      <c r="E47" s="6" t="n"/>
      <c r="F47" s="11">
        <f>IFERROR(B47*$B$9 + C47*($B$10+$B$11+$B$13) + D47*$B$12,0)</f>
        <v/>
      </c>
      <c r="G47" s="11">
        <f>C47-B47-E47-F47</f>
        <v/>
      </c>
      <c r="H47" s="12">
        <f>IFERROR(C47/B47,"-")</f>
        <v/>
      </c>
      <c r="I47" s="13">
        <f>IFERROR(G47/C47,"-")</f>
        <v/>
      </c>
    </row>
    <row r="48">
      <c r="A48" s="9" t="n">
        <v>46234</v>
      </c>
      <c r="B48" s="6" t="n"/>
      <c r="C48" s="6" t="n"/>
      <c r="D48" s="10" t="n"/>
      <c r="E48" s="6" t="n"/>
      <c r="F48" s="11">
        <f>IFERROR(B48*$B$9 + C48*($B$10+$B$11+$B$13) + D48*$B$12,0)</f>
        <v/>
      </c>
      <c r="G48" s="11">
        <f>C48-B48-E48-F48</f>
        <v/>
      </c>
      <c r="H48" s="12">
        <f>IFERROR(C48/B48,"-")</f>
        <v/>
      </c>
      <c r="I48" s="13">
        <f>IFERROR(G48/C48,"-")</f>
        <v/>
      </c>
    </row>
    <row r="49">
      <c r="A49" s="14" t="inlineStr">
        <is>
          <t>TOTAAL</t>
        </is>
      </c>
      <c r="B49" s="15">
        <f>SUM(B18:B48)</f>
        <v/>
      </c>
      <c r="C49" s="15">
        <f>SUM(C18:C48)</f>
        <v/>
      </c>
      <c r="D49" s="16">
        <f>SUM(D18:D48)</f>
        <v/>
      </c>
      <c r="E49" s="15">
        <f>SUM(E18:E48)</f>
        <v/>
      </c>
      <c r="F49" s="15">
        <f>SUM(F18:F48)</f>
        <v/>
      </c>
      <c r="G49" s="15">
        <f>SUM(G18:G48)</f>
        <v/>
      </c>
      <c r="H49" s="17">
        <f>IFERROR(C49/B49,"-")</f>
        <v/>
      </c>
      <c r="I49" s="18">
        <f>IFERROR(G49/C49,"-")</f>
        <v/>
      </c>
    </row>
    <row r="51">
      <c r="A51" s="19" t="inlineStr">
        <is>
          <t>Geel = zelf invullen. Vul per dag Adspend, Omzet, #Orders en COG totaal in. Adspend fee = 4% van de adspend. Fees, Winst, ROAS en Winstmarge rekenen automatisch.</t>
        </is>
      </c>
    </row>
  </sheetData>
  <mergeCells count="5">
    <mergeCell ref="A3:H3"/>
    <mergeCell ref="A51:I51"/>
    <mergeCell ref="A1:H1"/>
    <mergeCell ref="A8:H8"/>
    <mergeCell ref="A16:I16"/>
  </mergeCells>
  <conditionalFormatting sqref="G18:G4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18:I49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1" customWidth="1" min="4" max="4"/>
    <col width="14" customWidth="1" min="5" max="5"/>
    <col width="13" customWidth="1" min="6" max="6"/>
    <col width="13" customWidth="1" min="7" max="7"/>
    <col width="10" customWidth="1" min="8" max="8"/>
    <col width="12" customWidth="1" min="9" max="9"/>
  </cols>
  <sheetData>
    <row r="1" ht="19.5" customHeight="1">
      <c r="A1" s="1" t="inlineStr">
        <is>
          <t>Goatly P&amp;L</t>
        </is>
      </c>
    </row>
    <row r="3">
      <c r="A3" s="2" t="inlineStr">
        <is>
          <t>INKOOP / COG per product (vul je eigen bedragen in)</t>
        </is>
      </c>
    </row>
    <row r="4">
      <c r="A4" s="3" t="n"/>
      <c r="B4" s="4" t="inlineStr">
        <is>
          <t>P1 (1 zak)</t>
        </is>
      </c>
      <c r="C4" s="4" t="inlineStr">
        <is>
          <t>P3 (2+1)</t>
        </is>
      </c>
      <c r="D4" s="4" t="inlineStr">
        <is>
          <t>P5 (3+2)</t>
        </is>
      </c>
    </row>
    <row r="5">
      <c r="A5" s="5" t="inlineStr">
        <is>
          <t>Verkoopprijs</t>
        </is>
      </c>
      <c r="B5" s="6" t="n">
        <v>39.95</v>
      </c>
      <c r="C5" s="6" t="n">
        <v>69.95</v>
      </c>
      <c r="D5" s="6" t="n">
        <v>109.95</v>
      </c>
    </row>
    <row r="6">
      <c r="A6" s="5" t="inlineStr">
        <is>
          <t>Inkoop (COG)</t>
        </is>
      </c>
      <c r="B6" s="6" t="n">
        <v>13.34</v>
      </c>
      <c r="C6" s="6" t="n">
        <v>25.28</v>
      </c>
      <c r="D6" s="6" t="n">
        <v>37.74</v>
      </c>
    </row>
    <row r="8">
      <c r="A8" s="2" t="inlineStr">
        <is>
          <t>Fees (vul je eigen waarden in)</t>
        </is>
      </c>
    </row>
    <row r="9">
      <c r="A9" s="5" t="inlineStr">
        <is>
          <t>Adspend fee % (van adspend)</t>
        </is>
      </c>
      <c r="B9" s="7" t="n">
        <v>0.04</v>
      </c>
    </row>
    <row r="10">
      <c r="A10" s="5" t="inlineStr">
        <is>
          <t>Checkify %</t>
        </is>
      </c>
      <c r="B10" s="7" t="n">
        <v>0.0065</v>
      </c>
    </row>
    <row r="11">
      <c r="A11" s="5" t="inlineStr">
        <is>
          <t xml:space="preserve">Stripe % </t>
        </is>
      </c>
      <c r="B11" s="7" t="n">
        <v>0</v>
      </c>
    </row>
    <row r="12">
      <c r="A12" s="5" t="inlineStr">
        <is>
          <t>Stripe vast p/order</t>
        </is>
      </c>
      <c r="B12" s="6" t="n">
        <v>0.32</v>
      </c>
    </row>
    <row r="13">
      <c r="A13" s="5" t="inlineStr">
        <is>
          <t>Shopify %</t>
        </is>
      </c>
      <c r="B13" s="7" t="n">
        <v>0.005</v>
      </c>
    </row>
    <row r="16">
      <c r="A16" s="2" t="inlineStr">
        <is>
          <t>DAGELIJKSE P&amp;L</t>
        </is>
      </c>
    </row>
    <row r="17">
      <c r="A17" s="8" t="inlineStr">
        <is>
          <t>Datum</t>
        </is>
      </c>
      <c r="B17" s="8" t="inlineStr">
        <is>
          <t>Adspend</t>
        </is>
      </c>
      <c r="C17" s="8" t="inlineStr">
        <is>
          <t>Omzet</t>
        </is>
      </c>
      <c r="D17" s="8" t="inlineStr">
        <is>
          <t># Orders</t>
        </is>
      </c>
      <c r="E17" s="8" t="inlineStr">
        <is>
          <t>COG totaal</t>
        </is>
      </c>
      <c r="F17" s="8" t="inlineStr">
        <is>
          <t>Fees totaal</t>
        </is>
      </c>
      <c r="G17" s="8" t="inlineStr">
        <is>
          <t>Winst</t>
        </is>
      </c>
      <c r="H17" s="8" t="inlineStr">
        <is>
          <t>ROAS</t>
        </is>
      </c>
      <c r="I17" s="8" t="inlineStr">
        <is>
          <t>Winstmarge</t>
        </is>
      </c>
    </row>
    <row r="18">
      <c r="A18" s="9" t="n">
        <v>46235</v>
      </c>
      <c r="B18" s="6" t="n"/>
      <c r="C18" s="6" t="n"/>
      <c r="D18" s="10" t="n"/>
      <c r="E18" s="6" t="n"/>
      <c r="F18" s="11">
        <f>IFERROR(B18*$B$9 + C18*($B$10+$B$11+$B$13) + D18*$B$12,0)</f>
        <v/>
      </c>
      <c r="G18" s="11">
        <f>C18-B18-E18-F18</f>
        <v/>
      </c>
      <c r="H18" s="12">
        <f>IFERROR(C18/B18,"-")</f>
        <v/>
      </c>
      <c r="I18" s="13">
        <f>IFERROR(G18/C18,"-")</f>
        <v/>
      </c>
    </row>
    <row r="19">
      <c r="A19" s="9" t="n">
        <v>46236</v>
      </c>
      <c r="B19" s="6" t="n"/>
      <c r="C19" s="6" t="n"/>
      <c r="D19" s="10" t="n"/>
      <c r="E19" s="6" t="n"/>
      <c r="F19" s="11">
        <f>IFERROR(B19*$B$9 + C19*($B$10+$B$11+$B$13) + D19*$B$12,0)</f>
        <v/>
      </c>
      <c r="G19" s="11">
        <f>C19-B19-E19-F19</f>
        <v/>
      </c>
      <c r="H19" s="12">
        <f>IFERROR(C19/B19,"-")</f>
        <v/>
      </c>
      <c r="I19" s="13">
        <f>IFERROR(G19/C19,"-")</f>
        <v/>
      </c>
    </row>
    <row r="20">
      <c r="A20" s="9" t="n">
        <v>46237</v>
      </c>
      <c r="B20" s="6" t="n"/>
      <c r="C20" s="6" t="n"/>
      <c r="D20" s="10" t="n"/>
      <c r="E20" s="6" t="n"/>
      <c r="F20" s="11">
        <f>IFERROR(B20*$B$9 + C20*($B$10+$B$11+$B$13) + D20*$B$12,0)</f>
        <v/>
      </c>
      <c r="G20" s="11">
        <f>C20-B20-E20-F20</f>
        <v/>
      </c>
      <c r="H20" s="12">
        <f>IFERROR(C20/B20,"-")</f>
        <v/>
      </c>
      <c r="I20" s="13">
        <f>IFERROR(G20/C20,"-")</f>
        <v/>
      </c>
    </row>
    <row r="21">
      <c r="A21" s="9" t="n">
        <v>46238</v>
      </c>
      <c r="B21" s="6" t="n"/>
      <c r="C21" s="6" t="n"/>
      <c r="D21" s="10" t="n"/>
      <c r="E21" s="6" t="n"/>
      <c r="F21" s="11">
        <f>IFERROR(B21*$B$9 + C21*($B$10+$B$11+$B$13) + D21*$B$12,0)</f>
        <v/>
      </c>
      <c r="G21" s="11">
        <f>C21-B21-E21-F21</f>
        <v/>
      </c>
      <c r="H21" s="12">
        <f>IFERROR(C21/B21,"-")</f>
        <v/>
      </c>
      <c r="I21" s="13">
        <f>IFERROR(G21/C21,"-")</f>
        <v/>
      </c>
    </row>
    <row r="22">
      <c r="A22" s="9" t="n">
        <v>46239</v>
      </c>
      <c r="B22" s="6" t="n"/>
      <c r="C22" s="6" t="n"/>
      <c r="D22" s="10" t="n"/>
      <c r="E22" s="6" t="n"/>
      <c r="F22" s="11">
        <f>IFERROR(B22*$B$9 + C22*($B$10+$B$11+$B$13) + D22*$B$12,0)</f>
        <v/>
      </c>
      <c r="G22" s="11">
        <f>C22-B22-E22-F22</f>
        <v/>
      </c>
      <c r="H22" s="12">
        <f>IFERROR(C22/B22,"-")</f>
        <v/>
      </c>
      <c r="I22" s="13">
        <f>IFERROR(G22/C22,"-")</f>
        <v/>
      </c>
    </row>
    <row r="23">
      <c r="A23" s="9" t="n">
        <v>46240</v>
      </c>
      <c r="B23" s="6" t="n"/>
      <c r="C23" s="6" t="n"/>
      <c r="D23" s="10" t="n"/>
      <c r="E23" s="6" t="n"/>
      <c r="F23" s="11">
        <f>IFERROR(B23*$B$9 + C23*($B$10+$B$11+$B$13) + D23*$B$12,0)</f>
        <v/>
      </c>
      <c r="G23" s="11">
        <f>C23-B23-E23-F23</f>
        <v/>
      </c>
      <c r="H23" s="12">
        <f>IFERROR(C23/B23,"-")</f>
        <v/>
      </c>
      <c r="I23" s="13">
        <f>IFERROR(G23/C23,"-")</f>
        <v/>
      </c>
    </row>
    <row r="24">
      <c r="A24" s="9" t="n">
        <v>46241</v>
      </c>
      <c r="B24" s="6" t="n"/>
      <c r="C24" s="6" t="n"/>
      <c r="D24" s="10" t="n"/>
      <c r="E24" s="6" t="n"/>
      <c r="F24" s="11">
        <f>IFERROR(B24*$B$9 + C24*($B$10+$B$11+$B$13) + D24*$B$12,0)</f>
        <v/>
      </c>
      <c r="G24" s="11">
        <f>C24-B24-E24-F24</f>
        <v/>
      </c>
      <c r="H24" s="12">
        <f>IFERROR(C24/B24,"-")</f>
        <v/>
      </c>
      <c r="I24" s="13">
        <f>IFERROR(G24/C24,"-")</f>
        <v/>
      </c>
    </row>
    <row r="25">
      <c r="A25" s="9" t="n">
        <v>46242</v>
      </c>
      <c r="B25" s="6" t="n"/>
      <c r="C25" s="6" t="n"/>
      <c r="D25" s="10" t="n"/>
      <c r="E25" s="6" t="n"/>
      <c r="F25" s="11">
        <f>IFERROR(B25*$B$9 + C25*($B$10+$B$11+$B$13) + D25*$B$12,0)</f>
        <v/>
      </c>
      <c r="G25" s="11">
        <f>C25-B25-E25-F25</f>
        <v/>
      </c>
      <c r="H25" s="12">
        <f>IFERROR(C25/B25,"-")</f>
        <v/>
      </c>
      <c r="I25" s="13">
        <f>IFERROR(G25/C25,"-")</f>
        <v/>
      </c>
    </row>
    <row r="26">
      <c r="A26" s="9" t="n">
        <v>46243</v>
      </c>
      <c r="B26" s="6" t="n"/>
      <c r="C26" s="6" t="n"/>
      <c r="D26" s="10" t="n"/>
      <c r="E26" s="6" t="n"/>
      <c r="F26" s="11">
        <f>IFERROR(B26*$B$9 + C26*($B$10+$B$11+$B$13) + D26*$B$12,0)</f>
        <v/>
      </c>
      <c r="G26" s="11">
        <f>C26-B26-E26-F26</f>
        <v/>
      </c>
      <c r="H26" s="12">
        <f>IFERROR(C26/B26,"-")</f>
        <v/>
      </c>
      <c r="I26" s="13">
        <f>IFERROR(G26/C26,"-")</f>
        <v/>
      </c>
    </row>
    <row r="27">
      <c r="A27" s="9" t="n">
        <v>46244</v>
      </c>
      <c r="B27" s="6" t="n"/>
      <c r="C27" s="6" t="n"/>
      <c r="D27" s="10" t="n"/>
      <c r="E27" s="6" t="n"/>
      <c r="F27" s="11">
        <f>IFERROR(B27*$B$9 + C27*($B$10+$B$11+$B$13) + D27*$B$12,0)</f>
        <v/>
      </c>
      <c r="G27" s="11">
        <f>C27-B27-E27-F27</f>
        <v/>
      </c>
      <c r="H27" s="12">
        <f>IFERROR(C27/B27,"-")</f>
        <v/>
      </c>
      <c r="I27" s="13">
        <f>IFERROR(G27/C27,"-")</f>
        <v/>
      </c>
    </row>
    <row r="28">
      <c r="A28" s="9" t="n">
        <v>46245</v>
      </c>
      <c r="B28" s="6" t="n"/>
      <c r="C28" s="6" t="n"/>
      <c r="D28" s="10" t="n"/>
      <c r="E28" s="6" t="n"/>
      <c r="F28" s="11">
        <f>IFERROR(B28*$B$9 + C28*($B$10+$B$11+$B$13) + D28*$B$12,0)</f>
        <v/>
      </c>
      <c r="G28" s="11">
        <f>C28-B28-E28-F28</f>
        <v/>
      </c>
      <c r="H28" s="12">
        <f>IFERROR(C28/B28,"-")</f>
        <v/>
      </c>
      <c r="I28" s="13">
        <f>IFERROR(G28/C28,"-")</f>
        <v/>
      </c>
    </row>
    <row r="29">
      <c r="A29" s="9" t="n">
        <v>46246</v>
      </c>
      <c r="B29" s="6" t="n"/>
      <c r="C29" s="6" t="n"/>
      <c r="D29" s="10" t="n"/>
      <c r="E29" s="6" t="n"/>
      <c r="F29" s="11">
        <f>IFERROR(B29*$B$9 + C29*($B$10+$B$11+$B$13) + D29*$B$12,0)</f>
        <v/>
      </c>
      <c r="G29" s="11">
        <f>C29-B29-E29-F29</f>
        <v/>
      </c>
      <c r="H29" s="12">
        <f>IFERROR(C29/B29,"-")</f>
        <v/>
      </c>
      <c r="I29" s="13">
        <f>IFERROR(G29/C29,"-")</f>
        <v/>
      </c>
    </row>
    <row r="30">
      <c r="A30" s="9" t="n">
        <v>46247</v>
      </c>
      <c r="B30" s="6" t="n"/>
      <c r="C30" s="6" t="n"/>
      <c r="D30" s="10" t="n"/>
      <c r="E30" s="6" t="n"/>
      <c r="F30" s="11">
        <f>IFERROR(B30*$B$9 + C30*($B$10+$B$11+$B$13) + D30*$B$12,0)</f>
        <v/>
      </c>
      <c r="G30" s="11">
        <f>C30-B30-E30-F30</f>
        <v/>
      </c>
      <c r="H30" s="12">
        <f>IFERROR(C30/B30,"-")</f>
        <v/>
      </c>
      <c r="I30" s="13">
        <f>IFERROR(G30/C30,"-")</f>
        <v/>
      </c>
    </row>
    <row r="31">
      <c r="A31" s="9" t="n">
        <v>46248</v>
      </c>
      <c r="B31" s="6" t="n"/>
      <c r="C31" s="6" t="n"/>
      <c r="D31" s="10" t="n"/>
      <c r="E31" s="6" t="n"/>
      <c r="F31" s="11">
        <f>IFERROR(B31*$B$9 + C31*($B$10+$B$11+$B$13) + D31*$B$12,0)</f>
        <v/>
      </c>
      <c r="G31" s="11">
        <f>C31-B31-E31-F31</f>
        <v/>
      </c>
      <c r="H31" s="12">
        <f>IFERROR(C31/B31,"-")</f>
        <v/>
      </c>
      <c r="I31" s="13">
        <f>IFERROR(G31/C31,"-")</f>
        <v/>
      </c>
    </row>
    <row r="32">
      <c r="A32" s="9" t="n">
        <v>46249</v>
      </c>
      <c r="B32" s="6" t="n"/>
      <c r="C32" s="6" t="n"/>
      <c r="D32" s="10" t="n"/>
      <c r="E32" s="6" t="n"/>
      <c r="F32" s="11">
        <f>IFERROR(B32*$B$9 + C32*($B$10+$B$11+$B$13) + D32*$B$12,0)</f>
        <v/>
      </c>
      <c r="G32" s="11">
        <f>C32-B32-E32-F32</f>
        <v/>
      </c>
      <c r="H32" s="12">
        <f>IFERROR(C32/B32,"-")</f>
        <v/>
      </c>
      <c r="I32" s="13">
        <f>IFERROR(G32/C32,"-")</f>
        <v/>
      </c>
    </row>
    <row r="33">
      <c r="A33" s="9" t="n">
        <v>46250</v>
      </c>
      <c r="B33" s="6" t="n"/>
      <c r="C33" s="6" t="n"/>
      <c r="D33" s="10" t="n"/>
      <c r="E33" s="6" t="n"/>
      <c r="F33" s="11">
        <f>IFERROR(B33*$B$9 + C33*($B$10+$B$11+$B$13) + D33*$B$12,0)</f>
        <v/>
      </c>
      <c r="G33" s="11">
        <f>C33-B33-E33-F33</f>
        <v/>
      </c>
      <c r="H33" s="12">
        <f>IFERROR(C33/B33,"-")</f>
        <v/>
      </c>
      <c r="I33" s="13">
        <f>IFERROR(G33/C33,"-")</f>
        <v/>
      </c>
    </row>
    <row r="34">
      <c r="A34" s="9" t="n">
        <v>46251</v>
      </c>
      <c r="B34" s="6" t="n"/>
      <c r="C34" s="6" t="n"/>
      <c r="D34" s="10" t="n"/>
      <c r="E34" s="6" t="n"/>
      <c r="F34" s="11">
        <f>IFERROR(B34*$B$9 + C34*($B$10+$B$11+$B$13) + D34*$B$12,0)</f>
        <v/>
      </c>
      <c r="G34" s="11">
        <f>C34-B34-E34-F34</f>
        <v/>
      </c>
      <c r="H34" s="12">
        <f>IFERROR(C34/B34,"-")</f>
        <v/>
      </c>
      <c r="I34" s="13">
        <f>IFERROR(G34/C34,"-")</f>
        <v/>
      </c>
    </row>
    <row r="35">
      <c r="A35" s="9" t="n">
        <v>46252</v>
      </c>
      <c r="B35" s="6" t="n"/>
      <c r="C35" s="6" t="n"/>
      <c r="D35" s="10" t="n"/>
      <c r="E35" s="6" t="n"/>
      <c r="F35" s="11">
        <f>IFERROR(B35*$B$9 + C35*($B$10+$B$11+$B$13) + D35*$B$12,0)</f>
        <v/>
      </c>
      <c r="G35" s="11">
        <f>C35-B35-E35-F35</f>
        <v/>
      </c>
      <c r="H35" s="12">
        <f>IFERROR(C35/B35,"-")</f>
        <v/>
      </c>
      <c r="I35" s="13">
        <f>IFERROR(G35/C35,"-")</f>
        <v/>
      </c>
    </row>
    <row r="36">
      <c r="A36" s="9" t="n">
        <v>46253</v>
      </c>
      <c r="B36" s="6" t="n"/>
      <c r="C36" s="6" t="n"/>
      <c r="D36" s="10" t="n"/>
      <c r="E36" s="6" t="n"/>
      <c r="F36" s="11">
        <f>IFERROR(B36*$B$9 + C36*($B$10+$B$11+$B$13) + D36*$B$12,0)</f>
        <v/>
      </c>
      <c r="G36" s="11">
        <f>C36-B36-E36-F36</f>
        <v/>
      </c>
      <c r="H36" s="12">
        <f>IFERROR(C36/B36,"-")</f>
        <v/>
      </c>
      <c r="I36" s="13">
        <f>IFERROR(G36/C36,"-")</f>
        <v/>
      </c>
    </row>
    <row r="37">
      <c r="A37" s="9" t="n">
        <v>46254</v>
      </c>
      <c r="B37" s="6" t="n"/>
      <c r="C37" s="6" t="n"/>
      <c r="D37" s="10" t="n"/>
      <c r="E37" s="6" t="n"/>
      <c r="F37" s="11">
        <f>IFERROR(B37*$B$9 + C37*($B$10+$B$11+$B$13) + D37*$B$12,0)</f>
        <v/>
      </c>
      <c r="G37" s="11">
        <f>C37-B37-E37-F37</f>
        <v/>
      </c>
      <c r="H37" s="12">
        <f>IFERROR(C37/B37,"-")</f>
        <v/>
      </c>
      <c r="I37" s="13">
        <f>IFERROR(G37/C37,"-")</f>
        <v/>
      </c>
    </row>
    <row r="38">
      <c r="A38" s="9" t="n">
        <v>46255</v>
      </c>
      <c r="B38" s="6" t="n"/>
      <c r="C38" s="6" t="n"/>
      <c r="D38" s="10" t="n"/>
      <c r="E38" s="6" t="n"/>
      <c r="F38" s="11">
        <f>IFERROR(B38*$B$9 + C38*($B$10+$B$11+$B$13) + D38*$B$12,0)</f>
        <v/>
      </c>
      <c r="G38" s="11">
        <f>C38-B38-E38-F38</f>
        <v/>
      </c>
      <c r="H38" s="12">
        <f>IFERROR(C38/B38,"-")</f>
        <v/>
      </c>
      <c r="I38" s="13">
        <f>IFERROR(G38/C38,"-")</f>
        <v/>
      </c>
    </row>
    <row r="39">
      <c r="A39" s="9" t="n">
        <v>46256</v>
      </c>
      <c r="B39" s="6" t="n"/>
      <c r="C39" s="6" t="n"/>
      <c r="D39" s="10" t="n"/>
      <c r="E39" s="6" t="n"/>
      <c r="F39" s="11">
        <f>IFERROR(B39*$B$9 + C39*($B$10+$B$11+$B$13) + D39*$B$12,0)</f>
        <v/>
      </c>
      <c r="G39" s="11">
        <f>C39-B39-E39-F39</f>
        <v/>
      </c>
      <c r="H39" s="12">
        <f>IFERROR(C39/B39,"-")</f>
        <v/>
      </c>
      <c r="I39" s="13">
        <f>IFERROR(G39/C39,"-")</f>
        <v/>
      </c>
    </row>
    <row r="40">
      <c r="A40" s="9" t="n">
        <v>46257</v>
      </c>
      <c r="B40" s="6" t="n"/>
      <c r="C40" s="6" t="n"/>
      <c r="D40" s="10" t="n"/>
      <c r="E40" s="6" t="n"/>
      <c r="F40" s="11">
        <f>IFERROR(B40*$B$9 + C40*($B$10+$B$11+$B$13) + D40*$B$12,0)</f>
        <v/>
      </c>
      <c r="G40" s="11">
        <f>C40-B40-E40-F40</f>
        <v/>
      </c>
      <c r="H40" s="12">
        <f>IFERROR(C40/B40,"-")</f>
        <v/>
      </c>
      <c r="I40" s="13">
        <f>IFERROR(G40/C40,"-")</f>
        <v/>
      </c>
    </row>
    <row r="41">
      <c r="A41" s="9" t="n">
        <v>46258</v>
      </c>
      <c r="B41" s="6" t="n"/>
      <c r="C41" s="6" t="n"/>
      <c r="D41" s="10" t="n"/>
      <c r="E41" s="6" t="n"/>
      <c r="F41" s="11">
        <f>IFERROR(B41*$B$9 + C41*($B$10+$B$11+$B$13) + D41*$B$12,0)</f>
        <v/>
      </c>
      <c r="G41" s="11">
        <f>C41-B41-E41-F41</f>
        <v/>
      </c>
      <c r="H41" s="12">
        <f>IFERROR(C41/B41,"-")</f>
        <v/>
      </c>
      <c r="I41" s="13">
        <f>IFERROR(G41/C41,"-")</f>
        <v/>
      </c>
    </row>
    <row r="42">
      <c r="A42" s="9" t="n">
        <v>46259</v>
      </c>
      <c r="B42" s="6" t="n"/>
      <c r="C42" s="6" t="n"/>
      <c r="D42" s="10" t="n"/>
      <c r="E42" s="6" t="n"/>
      <c r="F42" s="11">
        <f>IFERROR(B42*$B$9 + C42*($B$10+$B$11+$B$13) + D42*$B$12,0)</f>
        <v/>
      </c>
      <c r="G42" s="11">
        <f>C42-B42-E42-F42</f>
        <v/>
      </c>
      <c r="H42" s="12">
        <f>IFERROR(C42/B42,"-")</f>
        <v/>
      </c>
      <c r="I42" s="13">
        <f>IFERROR(G42/C42,"-")</f>
        <v/>
      </c>
    </row>
    <row r="43">
      <c r="A43" s="9" t="n">
        <v>46260</v>
      </c>
      <c r="B43" s="6" t="n"/>
      <c r="C43" s="6" t="n"/>
      <c r="D43" s="10" t="n"/>
      <c r="E43" s="6" t="n"/>
      <c r="F43" s="11">
        <f>IFERROR(B43*$B$9 + C43*($B$10+$B$11+$B$13) + D43*$B$12,0)</f>
        <v/>
      </c>
      <c r="G43" s="11">
        <f>C43-B43-E43-F43</f>
        <v/>
      </c>
      <c r="H43" s="12">
        <f>IFERROR(C43/B43,"-")</f>
        <v/>
      </c>
      <c r="I43" s="13">
        <f>IFERROR(G43/C43,"-")</f>
        <v/>
      </c>
    </row>
    <row r="44">
      <c r="A44" s="9" t="n">
        <v>46261</v>
      </c>
      <c r="B44" s="6" t="n"/>
      <c r="C44" s="6" t="n"/>
      <c r="D44" s="10" t="n"/>
      <c r="E44" s="6" t="n"/>
      <c r="F44" s="11">
        <f>IFERROR(B44*$B$9 + C44*($B$10+$B$11+$B$13) + D44*$B$12,0)</f>
        <v/>
      </c>
      <c r="G44" s="11">
        <f>C44-B44-E44-F44</f>
        <v/>
      </c>
      <c r="H44" s="12">
        <f>IFERROR(C44/B44,"-")</f>
        <v/>
      </c>
      <c r="I44" s="13">
        <f>IFERROR(G44/C44,"-")</f>
        <v/>
      </c>
    </row>
    <row r="45">
      <c r="A45" s="9" t="n">
        <v>46262</v>
      </c>
      <c r="B45" s="6" t="n"/>
      <c r="C45" s="6" t="n"/>
      <c r="D45" s="10" t="n"/>
      <c r="E45" s="6" t="n"/>
      <c r="F45" s="11">
        <f>IFERROR(B45*$B$9 + C45*($B$10+$B$11+$B$13) + D45*$B$12,0)</f>
        <v/>
      </c>
      <c r="G45" s="11">
        <f>C45-B45-E45-F45</f>
        <v/>
      </c>
      <c r="H45" s="12">
        <f>IFERROR(C45/B45,"-")</f>
        <v/>
      </c>
      <c r="I45" s="13">
        <f>IFERROR(G45/C45,"-")</f>
        <v/>
      </c>
    </row>
    <row r="46">
      <c r="A46" s="9" t="n">
        <v>46263</v>
      </c>
      <c r="B46" s="6" t="n"/>
      <c r="C46" s="6" t="n"/>
      <c r="D46" s="10" t="n"/>
      <c r="E46" s="6" t="n"/>
      <c r="F46" s="11">
        <f>IFERROR(B46*$B$9 + C46*($B$10+$B$11+$B$13) + D46*$B$12,0)</f>
        <v/>
      </c>
      <c r="G46" s="11">
        <f>C46-B46-E46-F46</f>
        <v/>
      </c>
      <c r="H46" s="12">
        <f>IFERROR(C46/B46,"-")</f>
        <v/>
      </c>
      <c r="I46" s="13">
        <f>IFERROR(G46/C46,"-")</f>
        <v/>
      </c>
    </row>
    <row r="47">
      <c r="A47" s="9" t="n">
        <v>46264</v>
      </c>
      <c r="B47" s="6" t="n"/>
      <c r="C47" s="6" t="n"/>
      <c r="D47" s="10" t="n"/>
      <c r="E47" s="6" t="n"/>
      <c r="F47" s="11">
        <f>IFERROR(B47*$B$9 + C47*($B$10+$B$11+$B$13) + D47*$B$12,0)</f>
        <v/>
      </c>
      <c r="G47" s="11">
        <f>C47-B47-E47-F47</f>
        <v/>
      </c>
      <c r="H47" s="12">
        <f>IFERROR(C47/B47,"-")</f>
        <v/>
      </c>
      <c r="I47" s="13">
        <f>IFERROR(G47/C47,"-")</f>
        <v/>
      </c>
    </row>
    <row r="48">
      <c r="A48" s="9" t="n">
        <v>46265</v>
      </c>
      <c r="B48" s="6" t="n"/>
      <c r="C48" s="6" t="n"/>
      <c r="D48" s="10" t="n"/>
      <c r="E48" s="6" t="n"/>
      <c r="F48" s="11">
        <f>IFERROR(B48*$B$9 + C48*($B$10+$B$11+$B$13) + D48*$B$12,0)</f>
        <v/>
      </c>
      <c r="G48" s="11">
        <f>C48-B48-E48-F48</f>
        <v/>
      </c>
      <c r="H48" s="12">
        <f>IFERROR(C48/B48,"-")</f>
        <v/>
      </c>
      <c r="I48" s="13">
        <f>IFERROR(G48/C48,"-")</f>
        <v/>
      </c>
    </row>
    <row r="49">
      <c r="A49" s="14" t="inlineStr">
        <is>
          <t>TOTAAL</t>
        </is>
      </c>
      <c r="B49" s="15">
        <f>SUM(B18:B48)</f>
        <v/>
      </c>
      <c r="C49" s="15">
        <f>SUM(C18:C48)</f>
        <v/>
      </c>
      <c r="D49" s="16">
        <f>SUM(D18:D48)</f>
        <v/>
      </c>
      <c r="E49" s="15">
        <f>SUM(E18:E48)</f>
        <v/>
      </c>
      <c r="F49" s="15">
        <f>SUM(F18:F48)</f>
        <v/>
      </c>
      <c r="G49" s="15">
        <f>SUM(G18:G48)</f>
        <v/>
      </c>
      <c r="H49" s="17">
        <f>IFERROR(C49/B49,"-")</f>
        <v/>
      </c>
      <c r="I49" s="18">
        <f>IFERROR(G49/C49,"-")</f>
        <v/>
      </c>
    </row>
    <row r="51">
      <c r="A51" s="19" t="inlineStr">
        <is>
          <t>Geel = zelf invullen. Vul per dag Adspend, Omzet, #Orders en COG totaal in. Adspend fee = 4% van de adspend. Fees, Winst, ROAS en Winstmarge rekenen automatisch.</t>
        </is>
      </c>
    </row>
  </sheetData>
  <mergeCells count="5">
    <mergeCell ref="A3:H3"/>
    <mergeCell ref="A51:I51"/>
    <mergeCell ref="A1:H1"/>
    <mergeCell ref="A8:H8"/>
    <mergeCell ref="A16:I16"/>
  </mergeCells>
  <conditionalFormatting sqref="G18:G4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18:I49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1" customWidth="1" min="4" max="4"/>
    <col width="14" customWidth="1" min="5" max="5"/>
    <col width="13" customWidth="1" min="6" max="6"/>
    <col width="13" customWidth="1" min="7" max="7"/>
    <col width="10" customWidth="1" min="8" max="8"/>
    <col width="12" customWidth="1" min="9" max="9"/>
  </cols>
  <sheetData>
    <row r="1" ht="19.5" customHeight="1">
      <c r="A1" s="1" t="inlineStr">
        <is>
          <t>Goatly P&amp;L</t>
        </is>
      </c>
    </row>
    <row r="3">
      <c r="A3" s="2" t="inlineStr">
        <is>
          <t>INKOOP / COG per product (vul je eigen bedragen in)</t>
        </is>
      </c>
    </row>
    <row r="4">
      <c r="A4" s="3" t="n"/>
      <c r="B4" s="4" t="inlineStr">
        <is>
          <t>P1 (1 zak)</t>
        </is>
      </c>
      <c r="C4" s="4" t="inlineStr">
        <is>
          <t>P3 (2+1)</t>
        </is>
      </c>
      <c r="D4" s="4" t="inlineStr">
        <is>
          <t>P5 (3+2)</t>
        </is>
      </c>
    </row>
    <row r="5">
      <c r="A5" s="5" t="inlineStr">
        <is>
          <t>Verkoopprijs</t>
        </is>
      </c>
      <c r="B5" s="6" t="n">
        <v>39.95</v>
      </c>
      <c r="C5" s="6" t="n">
        <v>69.95</v>
      </c>
      <c r="D5" s="6" t="n">
        <v>109.95</v>
      </c>
    </row>
    <row r="6">
      <c r="A6" s="5" t="inlineStr">
        <is>
          <t>Inkoop (COG)</t>
        </is>
      </c>
      <c r="B6" s="6" t="n">
        <v>13.34</v>
      </c>
      <c r="C6" s="6" t="n">
        <v>25.28</v>
      </c>
      <c r="D6" s="6" t="n">
        <v>37.74</v>
      </c>
    </row>
    <row r="8">
      <c r="A8" s="2" t="inlineStr">
        <is>
          <t>Fees (vul je eigen waarden in)</t>
        </is>
      </c>
    </row>
    <row r="9">
      <c r="A9" s="5" t="inlineStr">
        <is>
          <t>Adspend fee % (van adspend)</t>
        </is>
      </c>
      <c r="B9" s="7" t="n">
        <v>0.04</v>
      </c>
    </row>
    <row r="10">
      <c r="A10" s="5" t="inlineStr">
        <is>
          <t>Checkify %</t>
        </is>
      </c>
      <c r="B10" s="7" t="n">
        <v>0.0065</v>
      </c>
    </row>
    <row r="11">
      <c r="A11" s="5" t="inlineStr">
        <is>
          <t xml:space="preserve">Stripe % </t>
        </is>
      </c>
      <c r="B11" s="7" t="n">
        <v>0</v>
      </c>
    </row>
    <row r="12">
      <c r="A12" s="5" t="inlineStr">
        <is>
          <t>Stripe vast p/order</t>
        </is>
      </c>
      <c r="B12" s="6" t="n">
        <v>0.32</v>
      </c>
    </row>
    <row r="13">
      <c r="A13" s="5" t="inlineStr">
        <is>
          <t>Shopify %</t>
        </is>
      </c>
      <c r="B13" s="7" t="n">
        <v>0.005</v>
      </c>
    </row>
    <row r="16">
      <c r="A16" s="2" t="inlineStr">
        <is>
          <t>DAGELIJKSE P&amp;L</t>
        </is>
      </c>
    </row>
    <row r="17">
      <c r="A17" s="8" t="inlineStr">
        <is>
          <t>Datum</t>
        </is>
      </c>
      <c r="B17" s="8" t="inlineStr">
        <is>
          <t>Adspend</t>
        </is>
      </c>
      <c r="C17" s="8" t="inlineStr">
        <is>
          <t>Omzet</t>
        </is>
      </c>
      <c r="D17" s="8" t="inlineStr">
        <is>
          <t># Orders</t>
        </is>
      </c>
      <c r="E17" s="8" t="inlineStr">
        <is>
          <t>COG totaal</t>
        </is>
      </c>
      <c r="F17" s="8" t="inlineStr">
        <is>
          <t>Fees totaal</t>
        </is>
      </c>
      <c r="G17" s="8" t="inlineStr">
        <is>
          <t>Winst</t>
        </is>
      </c>
      <c r="H17" s="8" t="inlineStr">
        <is>
          <t>ROAS</t>
        </is>
      </c>
      <c r="I17" s="8" t="inlineStr">
        <is>
          <t>Winstmarge</t>
        </is>
      </c>
    </row>
    <row r="18">
      <c r="A18" s="9" t="n">
        <v>46266</v>
      </c>
      <c r="B18" s="6" t="n"/>
      <c r="C18" s="6" t="n"/>
      <c r="D18" s="10" t="n"/>
      <c r="E18" s="6" t="n"/>
      <c r="F18" s="11">
        <f>IFERROR(B18*$B$9 + C18*($B$10+$B$11+$B$13) + D18*$B$12,0)</f>
        <v/>
      </c>
      <c r="G18" s="11">
        <f>C18-B18-E18-F18</f>
        <v/>
      </c>
      <c r="H18" s="12">
        <f>IFERROR(C18/B18,"-")</f>
        <v/>
      </c>
      <c r="I18" s="13">
        <f>IFERROR(G18/C18,"-")</f>
        <v/>
      </c>
    </row>
    <row r="19">
      <c r="A19" s="9" t="n">
        <v>46267</v>
      </c>
      <c r="B19" s="6" t="n"/>
      <c r="C19" s="6" t="n"/>
      <c r="D19" s="10" t="n"/>
      <c r="E19" s="6" t="n"/>
      <c r="F19" s="11">
        <f>IFERROR(B19*$B$9 + C19*($B$10+$B$11+$B$13) + D19*$B$12,0)</f>
        <v/>
      </c>
      <c r="G19" s="11">
        <f>C19-B19-E19-F19</f>
        <v/>
      </c>
      <c r="H19" s="12">
        <f>IFERROR(C19/B19,"-")</f>
        <v/>
      </c>
      <c r="I19" s="13">
        <f>IFERROR(G19/C19,"-")</f>
        <v/>
      </c>
    </row>
    <row r="20">
      <c r="A20" s="9" t="n">
        <v>46268</v>
      </c>
      <c r="B20" s="6" t="n"/>
      <c r="C20" s="6" t="n"/>
      <c r="D20" s="10" t="n"/>
      <c r="E20" s="6" t="n"/>
      <c r="F20" s="11">
        <f>IFERROR(B20*$B$9 + C20*($B$10+$B$11+$B$13) + D20*$B$12,0)</f>
        <v/>
      </c>
      <c r="G20" s="11">
        <f>C20-B20-E20-F20</f>
        <v/>
      </c>
      <c r="H20" s="12">
        <f>IFERROR(C20/B20,"-")</f>
        <v/>
      </c>
      <c r="I20" s="13">
        <f>IFERROR(G20/C20,"-")</f>
        <v/>
      </c>
    </row>
    <row r="21">
      <c r="A21" s="9" t="n">
        <v>46269</v>
      </c>
      <c r="B21" s="6" t="n"/>
      <c r="C21" s="6" t="n"/>
      <c r="D21" s="10" t="n"/>
      <c r="E21" s="6" t="n"/>
      <c r="F21" s="11">
        <f>IFERROR(B21*$B$9 + C21*($B$10+$B$11+$B$13) + D21*$B$12,0)</f>
        <v/>
      </c>
      <c r="G21" s="11">
        <f>C21-B21-E21-F21</f>
        <v/>
      </c>
      <c r="H21" s="12">
        <f>IFERROR(C21/B21,"-")</f>
        <v/>
      </c>
      <c r="I21" s="13">
        <f>IFERROR(G21/C21,"-")</f>
        <v/>
      </c>
    </row>
    <row r="22">
      <c r="A22" s="9" t="n">
        <v>46270</v>
      </c>
      <c r="B22" s="6" t="n"/>
      <c r="C22" s="6" t="n"/>
      <c r="D22" s="10" t="n"/>
      <c r="E22" s="6" t="n"/>
      <c r="F22" s="11">
        <f>IFERROR(B22*$B$9 + C22*($B$10+$B$11+$B$13) + D22*$B$12,0)</f>
        <v/>
      </c>
      <c r="G22" s="11">
        <f>C22-B22-E22-F22</f>
        <v/>
      </c>
      <c r="H22" s="12">
        <f>IFERROR(C22/B22,"-")</f>
        <v/>
      </c>
      <c r="I22" s="13">
        <f>IFERROR(G22/C22,"-")</f>
        <v/>
      </c>
    </row>
    <row r="23">
      <c r="A23" s="9" t="n">
        <v>46271</v>
      </c>
      <c r="B23" s="6" t="n"/>
      <c r="C23" s="6" t="n"/>
      <c r="D23" s="10" t="n"/>
      <c r="E23" s="6" t="n"/>
      <c r="F23" s="11">
        <f>IFERROR(B23*$B$9 + C23*($B$10+$B$11+$B$13) + D23*$B$12,0)</f>
        <v/>
      </c>
      <c r="G23" s="11">
        <f>C23-B23-E23-F23</f>
        <v/>
      </c>
      <c r="H23" s="12">
        <f>IFERROR(C23/B23,"-")</f>
        <v/>
      </c>
      <c r="I23" s="13">
        <f>IFERROR(G23/C23,"-")</f>
        <v/>
      </c>
    </row>
    <row r="24">
      <c r="A24" s="9" t="n">
        <v>46272</v>
      </c>
      <c r="B24" s="6" t="n"/>
      <c r="C24" s="6" t="n"/>
      <c r="D24" s="10" t="n"/>
      <c r="E24" s="6" t="n"/>
      <c r="F24" s="11">
        <f>IFERROR(B24*$B$9 + C24*($B$10+$B$11+$B$13) + D24*$B$12,0)</f>
        <v/>
      </c>
      <c r="G24" s="11">
        <f>C24-B24-E24-F24</f>
        <v/>
      </c>
      <c r="H24" s="12">
        <f>IFERROR(C24/B24,"-")</f>
        <v/>
      </c>
      <c r="I24" s="13">
        <f>IFERROR(G24/C24,"-")</f>
        <v/>
      </c>
    </row>
    <row r="25">
      <c r="A25" s="9" t="n">
        <v>46273</v>
      </c>
      <c r="B25" s="6" t="n"/>
      <c r="C25" s="6" t="n"/>
      <c r="D25" s="10" t="n"/>
      <c r="E25" s="6" t="n"/>
      <c r="F25" s="11">
        <f>IFERROR(B25*$B$9 + C25*($B$10+$B$11+$B$13) + D25*$B$12,0)</f>
        <v/>
      </c>
      <c r="G25" s="11">
        <f>C25-B25-E25-F25</f>
        <v/>
      </c>
      <c r="H25" s="12">
        <f>IFERROR(C25/B25,"-")</f>
        <v/>
      </c>
      <c r="I25" s="13">
        <f>IFERROR(G25/C25,"-")</f>
        <v/>
      </c>
    </row>
    <row r="26">
      <c r="A26" s="9" t="n">
        <v>46274</v>
      </c>
      <c r="B26" s="6" t="n"/>
      <c r="C26" s="6" t="n"/>
      <c r="D26" s="10" t="n"/>
      <c r="E26" s="6" t="n"/>
      <c r="F26" s="11">
        <f>IFERROR(B26*$B$9 + C26*($B$10+$B$11+$B$13) + D26*$B$12,0)</f>
        <v/>
      </c>
      <c r="G26" s="11">
        <f>C26-B26-E26-F26</f>
        <v/>
      </c>
      <c r="H26" s="12">
        <f>IFERROR(C26/B26,"-")</f>
        <v/>
      </c>
      <c r="I26" s="13">
        <f>IFERROR(G26/C26,"-")</f>
        <v/>
      </c>
    </row>
    <row r="27">
      <c r="A27" s="9" t="n">
        <v>46275</v>
      </c>
      <c r="B27" s="6" t="n"/>
      <c r="C27" s="6" t="n"/>
      <c r="D27" s="10" t="n"/>
      <c r="E27" s="6" t="n"/>
      <c r="F27" s="11">
        <f>IFERROR(B27*$B$9 + C27*($B$10+$B$11+$B$13) + D27*$B$12,0)</f>
        <v/>
      </c>
      <c r="G27" s="11">
        <f>C27-B27-E27-F27</f>
        <v/>
      </c>
      <c r="H27" s="12">
        <f>IFERROR(C27/B27,"-")</f>
        <v/>
      </c>
      <c r="I27" s="13">
        <f>IFERROR(G27/C27,"-")</f>
        <v/>
      </c>
    </row>
    <row r="28">
      <c r="A28" s="9" t="n">
        <v>46276</v>
      </c>
      <c r="B28" s="6" t="n"/>
      <c r="C28" s="6" t="n"/>
      <c r="D28" s="10" t="n"/>
      <c r="E28" s="6" t="n"/>
      <c r="F28" s="11">
        <f>IFERROR(B28*$B$9 + C28*($B$10+$B$11+$B$13) + D28*$B$12,0)</f>
        <v/>
      </c>
      <c r="G28" s="11">
        <f>C28-B28-E28-F28</f>
        <v/>
      </c>
      <c r="H28" s="12">
        <f>IFERROR(C28/B28,"-")</f>
        <v/>
      </c>
      <c r="I28" s="13">
        <f>IFERROR(G28/C28,"-")</f>
        <v/>
      </c>
    </row>
    <row r="29">
      <c r="A29" s="9" t="n">
        <v>46277</v>
      </c>
      <c r="B29" s="6" t="n"/>
      <c r="C29" s="6" t="n"/>
      <c r="D29" s="10" t="n"/>
      <c r="E29" s="6" t="n"/>
      <c r="F29" s="11">
        <f>IFERROR(B29*$B$9 + C29*($B$10+$B$11+$B$13) + D29*$B$12,0)</f>
        <v/>
      </c>
      <c r="G29" s="11">
        <f>C29-B29-E29-F29</f>
        <v/>
      </c>
      <c r="H29" s="12">
        <f>IFERROR(C29/B29,"-")</f>
        <v/>
      </c>
      <c r="I29" s="13">
        <f>IFERROR(G29/C29,"-")</f>
        <v/>
      </c>
    </row>
    <row r="30">
      <c r="A30" s="9" t="n">
        <v>46278</v>
      </c>
      <c r="B30" s="6" t="n"/>
      <c r="C30" s="6" t="n"/>
      <c r="D30" s="10" t="n"/>
      <c r="E30" s="6" t="n"/>
      <c r="F30" s="11">
        <f>IFERROR(B30*$B$9 + C30*($B$10+$B$11+$B$13) + D30*$B$12,0)</f>
        <v/>
      </c>
      <c r="G30" s="11">
        <f>C30-B30-E30-F30</f>
        <v/>
      </c>
      <c r="H30" s="12">
        <f>IFERROR(C30/B30,"-")</f>
        <v/>
      </c>
      <c r="I30" s="13">
        <f>IFERROR(G30/C30,"-")</f>
        <v/>
      </c>
    </row>
    <row r="31">
      <c r="A31" s="9" t="n">
        <v>46279</v>
      </c>
      <c r="B31" s="6" t="n"/>
      <c r="C31" s="6" t="n"/>
      <c r="D31" s="10" t="n"/>
      <c r="E31" s="6" t="n"/>
      <c r="F31" s="11">
        <f>IFERROR(B31*$B$9 + C31*($B$10+$B$11+$B$13) + D31*$B$12,0)</f>
        <v/>
      </c>
      <c r="G31" s="11">
        <f>C31-B31-E31-F31</f>
        <v/>
      </c>
      <c r="H31" s="12">
        <f>IFERROR(C31/B31,"-")</f>
        <v/>
      </c>
      <c r="I31" s="13">
        <f>IFERROR(G31/C31,"-")</f>
        <v/>
      </c>
    </row>
    <row r="32">
      <c r="A32" s="9" t="n">
        <v>46280</v>
      </c>
      <c r="B32" s="6" t="n"/>
      <c r="C32" s="6" t="n"/>
      <c r="D32" s="10" t="n"/>
      <c r="E32" s="6" t="n"/>
      <c r="F32" s="11">
        <f>IFERROR(B32*$B$9 + C32*($B$10+$B$11+$B$13) + D32*$B$12,0)</f>
        <v/>
      </c>
      <c r="G32" s="11">
        <f>C32-B32-E32-F32</f>
        <v/>
      </c>
      <c r="H32" s="12">
        <f>IFERROR(C32/B32,"-")</f>
        <v/>
      </c>
      <c r="I32" s="13">
        <f>IFERROR(G32/C32,"-")</f>
        <v/>
      </c>
    </row>
    <row r="33">
      <c r="A33" s="9" t="n">
        <v>46281</v>
      </c>
      <c r="B33" s="6" t="n"/>
      <c r="C33" s="6" t="n"/>
      <c r="D33" s="10" t="n"/>
      <c r="E33" s="6" t="n"/>
      <c r="F33" s="11">
        <f>IFERROR(B33*$B$9 + C33*($B$10+$B$11+$B$13) + D33*$B$12,0)</f>
        <v/>
      </c>
      <c r="G33" s="11">
        <f>C33-B33-E33-F33</f>
        <v/>
      </c>
      <c r="H33" s="12">
        <f>IFERROR(C33/B33,"-")</f>
        <v/>
      </c>
      <c r="I33" s="13">
        <f>IFERROR(G33/C33,"-")</f>
        <v/>
      </c>
    </row>
    <row r="34">
      <c r="A34" s="9" t="n">
        <v>46282</v>
      </c>
      <c r="B34" s="6" t="n"/>
      <c r="C34" s="6" t="n"/>
      <c r="D34" s="10" t="n"/>
      <c r="E34" s="6" t="n"/>
      <c r="F34" s="11">
        <f>IFERROR(B34*$B$9 + C34*($B$10+$B$11+$B$13) + D34*$B$12,0)</f>
        <v/>
      </c>
      <c r="G34" s="11">
        <f>C34-B34-E34-F34</f>
        <v/>
      </c>
      <c r="H34" s="12">
        <f>IFERROR(C34/B34,"-")</f>
        <v/>
      </c>
      <c r="I34" s="13">
        <f>IFERROR(G34/C34,"-")</f>
        <v/>
      </c>
    </row>
    <row r="35">
      <c r="A35" s="9" t="n">
        <v>46283</v>
      </c>
      <c r="B35" s="6" t="n"/>
      <c r="C35" s="6" t="n"/>
      <c r="D35" s="10" t="n"/>
      <c r="E35" s="6" t="n"/>
      <c r="F35" s="11">
        <f>IFERROR(B35*$B$9 + C35*($B$10+$B$11+$B$13) + D35*$B$12,0)</f>
        <v/>
      </c>
      <c r="G35" s="11">
        <f>C35-B35-E35-F35</f>
        <v/>
      </c>
      <c r="H35" s="12">
        <f>IFERROR(C35/B35,"-")</f>
        <v/>
      </c>
      <c r="I35" s="13">
        <f>IFERROR(G35/C35,"-")</f>
        <v/>
      </c>
    </row>
    <row r="36">
      <c r="A36" s="9" t="n">
        <v>46284</v>
      </c>
      <c r="B36" s="6" t="n"/>
      <c r="C36" s="6" t="n"/>
      <c r="D36" s="10" t="n"/>
      <c r="E36" s="6" t="n"/>
      <c r="F36" s="11">
        <f>IFERROR(B36*$B$9 + C36*($B$10+$B$11+$B$13) + D36*$B$12,0)</f>
        <v/>
      </c>
      <c r="G36" s="11">
        <f>C36-B36-E36-F36</f>
        <v/>
      </c>
      <c r="H36" s="12">
        <f>IFERROR(C36/B36,"-")</f>
        <v/>
      </c>
      <c r="I36" s="13">
        <f>IFERROR(G36/C36,"-")</f>
        <v/>
      </c>
    </row>
    <row r="37">
      <c r="A37" s="9" t="n">
        <v>46285</v>
      </c>
      <c r="B37" s="6" t="n"/>
      <c r="C37" s="6" t="n"/>
      <c r="D37" s="10" t="n"/>
      <c r="E37" s="6" t="n"/>
      <c r="F37" s="11">
        <f>IFERROR(B37*$B$9 + C37*($B$10+$B$11+$B$13) + D37*$B$12,0)</f>
        <v/>
      </c>
      <c r="G37" s="11">
        <f>C37-B37-E37-F37</f>
        <v/>
      </c>
      <c r="H37" s="12">
        <f>IFERROR(C37/B37,"-")</f>
        <v/>
      </c>
      <c r="I37" s="13">
        <f>IFERROR(G37/C37,"-")</f>
        <v/>
      </c>
    </row>
    <row r="38">
      <c r="A38" s="9" t="n">
        <v>46286</v>
      </c>
      <c r="B38" s="6" t="n"/>
      <c r="C38" s="6" t="n"/>
      <c r="D38" s="10" t="n"/>
      <c r="E38" s="6" t="n"/>
      <c r="F38" s="11">
        <f>IFERROR(B38*$B$9 + C38*($B$10+$B$11+$B$13) + D38*$B$12,0)</f>
        <v/>
      </c>
      <c r="G38" s="11">
        <f>C38-B38-E38-F38</f>
        <v/>
      </c>
      <c r="H38" s="12">
        <f>IFERROR(C38/B38,"-")</f>
        <v/>
      </c>
      <c r="I38" s="13">
        <f>IFERROR(G38/C38,"-")</f>
        <v/>
      </c>
    </row>
    <row r="39">
      <c r="A39" s="9" t="n">
        <v>46287</v>
      </c>
      <c r="B39" s="6" t="n"/>
      <c r="C39" s="6" t="n"/>
      <c r="D39" s="10" t="n"/>
      <c r="E39" s="6" t="n"/>
      <c r="F39" s="11">
        <f>IFERROR(B39*$B$9 + C39*($B$10+$B$11+$B$13) + D39*$B$12,0)</f>
        <v/>
      </c>
      <c r="G39" s="11">
        <f>C39-B39-E39-F39</f>
        <v/>
      </c>
      <c r="H39" s="12">
        <f>IFERROR(C39/B39,"-")</f>
        <v/>
      </c>
      <c r="I39" s="13">
        <f>IFERROR(G39/C39,"-")</f>
        <v/>
      </c>
    </row>
    <row r="40">
      <c r="A40" s="9" t="n">
        <v>46288</v>
      </c>
      <c r="B40" s="6" t="n"/>
      <c r="C40" s="6" t="n"/>
      <c r="D40" s="10" t="n"/>
      <c r="E40" s="6" t="n"/>
      <c r="F40" s="11">
        <f>IFERROR(B40*$B$9 + C40*($B$10+$B$11+$B$13) + D40*$B$12,0)</f>
        <v/>
      </c>
      <c r="G40" s="11">
        <f>C40-B40-E40-F40</f>
        <v/>
      </c>
      <c r="H40" s="12">
        <f>IFERROR(C40/B40,"-")</f>
        <v/>
      </c>
      <c r="I40" s="13">
        <f>IFERROR(G40/C40,"-")</f>
        <v/>
      </c>
    </row>
    <row r="41">
      <c r="A41" s="9" t="n">
        <v>46289</v>
      </c>
      <c r="B41" s="6" t="n"/>
      <c r="C41" s="6" t="n"/>
      <c r="D41" s="10" t="n"/>
      <c r="E41" s="6" t="n"/>
      <c r="F41" s="11">
        <f>IFERROR(B41*$B$9 + C41*($B$10+$B$11+$B$13) + D41*$B$12,0)</f>
        <v/>
      </c>
      <c r="G41" s="11">
        <f>C41-B41-E41-F41</f>
        <v/>
      </c>
      <c r="H41" s="12">
        <f>IFERROR(C41/B41,"-")</f>
        <v/>
      </c>
      <c r="I41" s="13">
        <f>IFERROR(G41/C41,"-")</f>
        <v/>
      </c>
    </row>
    <row r="42">
      <c r="A42" s="9" t="n">
        <v>46290</v>
      </c>
      <c r="B42" s="6" t="n"/>
      <c r="C42" s="6" t="n"/>
      <c r="D42" s="10" t="n"/>
      <c r="E42" s="6" t="n"/>
      <c r="F42" s="11">
        <f>IFERROR(B42*$B$9 + C42*($B$10+$B$11+$B$13) + D42*$B$12,0)</f>
        <v/>
      </c>
      <c r="G42" s="11">
        <f>C42-B42-E42-F42</f>
        <v/>
      </c>
      <c r="H42" s="12">
        <f>IFERROR(C42/B42,"-")</f>
        <v/>
      </c>
      <c r="I42" s="13">
        <f>IFERROR(G42/C42,"-")</f>
        <v/>
      </c>
    </row>
    <row r="43">
      <c r="A43" s="9" t="n">
        <v>46291</v>
      </c>
      <c r="B43" s="6" t="n"/>
      <c r="C43" s="6" t="n"/>
      <c r="D43" s="10" t="n"/>
      <c r="E43" s="6" t="n"/>
      <c r="F43" s="11">
        <f>IFERROR(B43*$B$9 + C43*($B$10+$B$11+$B$13) + D43*$B$12,0)</f>
        <v/>
      </c>
      <c r="G43" s="11">
        <f>C43-B43-E43-F43</f>
        <v/>
      </c>
      <c r="H43" s="12">
        <f>IFERROR(C43/B43,"-")</f>
        <v/>
      </c>
      <c r="I43" s="13">
        <f>IFERROR(G43/C43,"-")</f>
        <v/>
      </c>
    </row>
    <row r="44">
      <c r="A44" s="9" t="n">
        <v>46292</v>
      </c>
      <c r="B44" s="6" t="n"/>
      <c r="C44" s="6" t="n"/>
      <c r="D44" s="10" t="n"/>
      <c r="E44" s="6" t="n"/>
      <c r="F44" s="11">
        <f>IFERROR(B44*$B$9 + C44*($B$10+$B$11+$B$13) + D44*$B$12,0)</f>
        <v/>
      </c>
      <c r="G44" s="11">
        <f>C44-B44-E44-F44</f>
        <v/>
      </c>
      <c r="H44" s="12">
        <f>IFERROR(C44/B44,"-")</f>
        <v/>
      </c>
      <c r="I44" s="13">
        <f>IFERROR(G44/C44,"-")</f>
        <v/>
      </c>
    </row>
    <row r="45">
      <c r="A45" s="9" t="n">
        <v>46293</v>
      </c>
      <c r="B45" s="6" t="n"/>
      <c r="C45" s="6" t="n"/>
      <c r="D45" s="10" t="n"/>
      <c r="E45" s="6" t="n"/>
      <c r="F45" s="11">
        <f>IFERROR(B45*$B$9 + C45*($B$10+$B$11+$B$13) + D45*$B$12,0)</f>
        <v/>
      </c>
      <c r="G45" s="11">
        <f>C45-B45-E45-F45</f>
        <v/>
      </c>
      <c r="H45" s="12">
        <f>IFERROR(C45/B45,"-")</f>
        <v/>
      </c>
      <c r="I45" s="13">
        <f>IFERROR(G45/C45,"-")</f>
        <v/>
      </c>
    </row>
    <row r="46">
      <c r="A46" s="9" t="n">
        <v>46294</v>
      </c>
      <c r="B46" s="6" t="n"/>
      <c r="C46" s="6" t="n"/>
      <c r="D46" s="10" t="n"/>
      <c r="E46" s="6" t="n"/>
      <c r="F46" s="11">
        <f>IFERROR(B46*$B$9 + C46*($B$10+$B$11+$B$13) + D46*$B$12,0)</f>
        <v/>
      </c>
      <c r="G46" s="11">
        <f>C46-B46-E46-F46</f>
        <v/>
      </c>
      <c r="H46" s="12">
        <f>IFERROR(C46/B46,"-")</f>
        <v/>
      </c>
      <c r="I46" s="13">
        <f>IFERROR(G46/C46,"-")</f>
        <v/>
      </c>
    </row>
    <row r="47">
      <c r="A47" s="9" t="n">
        <v>46295</v>
      </c>
      <c r="B47" s="6" t="n"/>
      <c r="C47" s="6" t="n"/>
      <c r="D47" s="10" t="n"/>
      <c r="E47" s="6" t="n"/>
      <c r="F47" s="11">
        <f>IFERROR(B47*$B$9 + C47*($B$10+$B$11+$B$13) + D47*$B$12,0)</f>
        <v/>
      </c>
      <c r="G47" s="11">
        <f>C47-B47-E47-F47</f>
        <v/>
      </c>
      <c r="H47" s="12">
        <f>IFERROR(C47/B47,"-")</f>
        <v/>
      </c>
      <c r="I47" s="13">
        <f>IFERROR(G47/C47,"-")</f>
        <v/>
      </c>
    </row>
    <row r="48">
      <c r="A48" s="14" t="inlineStr">
        <is>
          <t>TOTAAL</t>
        </is>
      </c>
      <c r="B48" s="15">
        <f>SUM(B18:B47)</f>
        <v/>
      </c>
      <c r="C48" s="15">
        <f>SUM(C18:C47)</f>
        <v/>
      </c>
      <c r="D48" s="16">
        <f>SUM(D18:D47)</f>
        <v/>
      </c>
      <c r="E48" s="15">
        <f>SUM(E18:E47)</f>
        <v/>
      </c>
      <c r="F48" s="15">
        <f>SUM(F18:F47)</f>
        <v/>
      </c>
      <c r="G48" s="15">
        <f>SUM(G18:G47)</f>
        <v/>
      </c>
      <c r="H48" s="17">
        <f>IFERROR(C48/B48,"-")</f>
        <v/>
      </c>
      <c r="I48" s="18">
        <f>IFERROR(G48/C48,"-")</f>
        <v/>
      </c>
    </row>
    <row r="50">
      <c r="A50" s="19" t="inlineStr">
        <is>
          <t>Geel = zelf invullen. Vul per dag Adspend, Omzet, #Orders en COG totaal in. Adspend fee = 4% van de adspend. Fees, Winst, ROAS en Winstmarge rekenen automatisch.</t>
        </is>
      </c>
    </row>
  </sheetData>
  <mergeCells count="5">
    <mergeCell ref="A3:H3"/>
    <mergeCell ref="A1:H1"/>
    <mergeCell ref="A50:I50"/>
    <mergeCell ref="A8:H8"/>
    <mergeCell ref="A16:I16"/>
  </mergeCells>
  <conditionalFormatting sqref="G18:G4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18:I4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1" customWidth="1" min="4" max="4"/>
    <col width="14" customWidth="1" min="5" max="5"/>
    <col width="13" customWidth="1" min="6" max="6"/>
    <col width="13" customWidth="1" min="7" max="7"/>
    <col width="10" customWidth="1" min="8" max="8"/>
    <col width="12" customWidth="1" min="9" max="9"/>
  </cols>
  <sheetData>
    <row r="1" ht="19.5" customHeight="1">
      <c r="A1" s="1" t="inlineStr">
        <is>
          <t>Goatly P&amp;L</t>
        </is>
      </c>
    </row>
    <row r="3">
      <c r="A3" s="2" t="inlineStr">
        <is>
          <t>INKOOP / COG per product (vul je eigen bedragen in)</t>
        </is>
      </c>
    </row>
    <row r="4">
      <c r="A4" s="3" t="n"/>
      <c r="B4" s="4" t="inlineStr">
        <is>
          <t>P1 (1 zak)</t>
        </is>
      </c>
      <c r="C4" s="4" t="inlineStr">
        <is>
          <t>P3 (2+1)</t>
        </is>
      </c>
      <c r="D4" s="4" t="inlineStr">
        <is>
          <t>P5 (3+2)</t>
        </is>
      </c>
    </row>
    <row r="5">
      <c r="A5" s="5" t="inlineStr">
        <is>
          <t>Verkoopprijs</t>
        </is>
      </c>
      <c r="B5" s="6" t="n">
        <v>39.95</v>
      </c>
      <c r="C5" s="6" t="n">
        <v>69.95</v>
      </c>
      <c r="D5" s="6" t="n">
        <v>109.95</v>
      </c>
    </row>
    <row r="6">
      <c r="A6" s="5" t="inlineStr">
        <is>
          <t>Inkoop (COG)</t>
        </is>
      </c>
      <c r="B6" s="6" t="n">
        <v>13.34</v>
      </c>
      <c r="C6" s="6" t="n">
        <v>25.28</v>
      </c>
      <c r="D6" s="6" t="n">
        <v>37.74</v>
      </c>
    </row>
    <row r="8">
      <c r="A8" s="2" t="inlineStr">
        <is>
          <t>Fees (vul je eigen waarden in)</t>
        </is>
      </c>
    </row>
    <row r="9">
      <c r="A9" s="5" t="inlineStr">
        <is>
          <t>Adspend fee % (van adspend)</t>
        </is>
      </c>
      <c r="B9" s="7" t="n">
        <v>0.04</v>
      </c>
    </row>
    <row r="10">
      <c r="A10" s="5" t="inlineStr">
        <is>
          <t>Checkify %</t>
        </is>
      </c>
      <c r="B10" s="7" t="n">
        <v>0.0065</v>
      </c>
    </row>
    <row r="11">
      <c r="A11" s="5" t="inlineStr">
        <is>
          <t xml:space="preserve">Stripe % </t>
        </is>
      </c>
      <c r="B11" s="7" t="n">
        <v>0</v>
      </c>
    </row>
    <row r="12">
      <c r="A12" s="5" t="inlineStr">
        <is>
          <t>Stripe vast p/order</t>
        </is>
      </c>
      <c r="B12" s="6" t="n">
        <v>0.32</v>
      </c>
    </row>
    <row r="13">
      <c r="A13" s="5" t="inlineStr">
        <is>
          <t>Shopify %</t>
        </is>
      </c>
      <c r="B13" s="7" t="n">
        <v>0.005</v>
      </c>
    </row>
    <row r="16">
      <c r="A16" s="2" t="inlineStr">
        <is>
          <t>DAGELIJKSE P&amp;L</t>
        </is>
      </c>
    </row>
    <row r="17">
      <c r="A17" s="8" t="inlineStr">
        <is>
          <t>Datum</t>
        </is>
      </c>
      <c r="B17" s="8" t="inlineStr">
        <is>
          <t>Adspend</t>
        </is>
      </c>
      <c r="C17" s="8" t="inlineStr">
        <is>
          <t>Omzet</t>
        </is>
      </c>
      <c r="D17" s="8" t="inlineStr">
        <is>
          <t># Orders</t>
        </is>
      </c>
      <c r="E17" s="8" t="inlineStr">
        <is>
          <t>COG totaal</t>
        </is>
      </c>
      <c r="F17" s="8" t="inlineStr">
        <is>
          <t>Fees totaal</t>
        </is>
      </c>
      <c r="G17" s="8" t="inlineStr">
        <is>
          <t>Winst</t>
        </is>
      </c>
      <c r="H17" s="8" t="inlineStr">
        <is>
          <t>ROAS</t>
        </is>
      </c>
      <c r="I17" s="8" t="inlineStr">
        <is>
          <t>Winstmarge</t>
        </is>
      </c>
    </row>
    <row r="18">
      <c r="A18" s="9" t="n">
        <v>46296</v>
      </c>
      <c r="B18" s="6" t="n"/>
      <c r="C18" s="6" t="n"/>
      <c r="D18" s="10" t="n"/>
      <c r="E18" s="6" t="n"/>
      <c r="F18" s="11">
        <f>IFERROR(B18*$B$9 + C18*($B$10+$B$11+$B$13) + D18*$B$12,0)</f>
        <v/>
      </c>
      <c r="G18" s="11">
        <f>C18-B18-E18-F18</f>
        <v/>
      </c>
      <c r="H18" s="12">
        <f>IFERROR(C18/B18,"-")</f>
        <v/>
      </c>
      <c r="I18" s="13">
        <f>IFERROR(G18/C18,"-")</f>
        <v/>
      </c>
    </row>
    <row r="19">
      <c r="A19" s="9" t="n">
        <v>46297</v>
      </c>
      <c r="B19" s="6" t="n"/>
      <c r="C19" s="6" t="n"/>
      <c r="D19" s="10" t="n"/>
      <c r="E19" s="6" t="n"/>
      <c r="F19" s="11">
        <f>IFERROR(B19*$B$9 + C19*($B$10+$B$11+$B$13) + D19*$B$12,0)</f>
        <v/>
      </c>
      <c r="G19" s="11">
        <f>C19-B19-E19-F19</f>
        <v/>
      </c>
      <c r="H19" s="12">
        <f>IFERROR(C19/B19,"-")</f>
        <v/>
      </c>
      <c r="I19" s="13">
        <f>IFERROR(G19/C19,"-")</f>
        <v/>
      </c>
    </row>
    <row r="20">
      <c r="A20" s="9" t="n">
        <v>46298</v>
      </c>
      <c r="B20" s="6" t="n"/>
      <c r="C20" s="6" t="n"/>
      <c r="D20" s="10" t="n"/>
      <c r="E20" s="6" t="n"/>
      <c r="F20" s="11">
        <f>IFERROR(B20*$B$9 + C20*($B$10+$B$11+$B$13) + D20*$B$12,0)</f>
        <v/>
      </c>
      <c r="G20" s="11">
        <f>C20-B20-E20-F20</f>
        <v/>
      </c>
      <c r="H20" s="12">
        <f>IFERROR(C20/B20,"-")</f>
        <v/>
      </c>
      <c r="I20" s="13">
        <f>IFERROR(G20/C20,"-")</f>
        <v/>
      </c>
    </row>
    <row r="21">
      <c r="A21" s="9" t="n">
        <v>46299</v>
      </c>
      <c r="B21" s="6" t="n"/>
      <c r="C21" s="6" t="n"/>
      <c r="D21" s="10" t="n"/>
      <c r="E21" s="6" t="n"/>
      <c r="F21" s="11">
        <f>IFERROR(B21*$B$9 + C21*($B$10+$B$11+$B$13) + D21*$B$12,0)</f>
        <v/>
      </c>
      <c r="G21" s="11">
        <f>C21-B21-E21-F21</f>
        <v/>
      </c>
      <c r="H21" s="12">
        <f>IFERROR(C21/B21,"-")</f>
        <v/>
      </c>
      <c r="I21" s="13">
        <f>IFERROR(G21/C21,"-")</f>
        <v/>
      </c>
    </row>
    <row r="22">
      <c r="A22" s="9" t="n">
        <v>46300</v>
      </c>
      <c r="B22" s="6" t="n"/>
      <c r="C22" s="6" t="n"/>
      <c r="D22" s="10" t="n"/>
      <c r="E22" s="6" t="n"/>
      <c r="F22" s="11">
        <f>IFERROR(B22*$B$9 + C22*($B$10+$B$11+$B$13) + D22*$B$12,0)</f>
        <v/>
      </c>
      <c r="G22" s="11">
        <f>C22-B22-E22-F22</f>
        <v/>
      </c>
      <c r="H22" s="12">
        <f>IFERROR(C22/B22,"-")</f>
        <v/>
      </c>
      <c r="I22" s="13">
        <f>IFERROR(G22/C22,"-")</f>
        <v/>
      </c>
    </row>
    <row r="23">
      <c r="A23" s="9" t="n">
        <v>46301</v>
      </c>
      <c r="B23" s="6" t="n"/>
      <c r="C23" s="6" t="n"/>
      <c r="D23" s="10" t="n"/>
      <c r="E23" s="6" t="n"/>
      <c r="F23" s="11">
        <f>IFERROR(B23*$B$9 + C23*($B$10+$B$11+$B$13) + D23*$B$12,0)</f>
        <v/>
      </c>
      <c r="G23" s="11">
        <f>C23-B23-E23-F23</f>
        <v/>
      </c>
      <c r="H23" s="12">
        <f>IFERROR(C23/B23,"-")</f>
        <v/>
      </c>
      <c r="I23" s="13">
        <f>IFERROR(G23/C23,"-")</f>
        <v/>
      </c>
    </row>
    <row r="24">
      <c r="A24" s="9" t="n">
        <v>46302</v>
      </c>
      <c r="B24" s="6" t="n"/>
      <c r="C24" s="6" t="n"/>
      <c r="D24" s="10" t="n"/>
      <c r="E24" s="6" t="n"/>
      <c r="F24" s="11">
        <f>IFERROR(B24*$B$9 + C24*($B$10+$B$11+$B$13) + D24*$B$12,0)</f>
        <v/>
      </c>
      <c r="G24" s="11">
        <f>C24-B24-E24-F24</f>
        <v/>
      </c>
      <c r="H24" s="12">
        <f>IFERROR(C24/B24,"-")</f>
        <v/>
      </c>
      <c r="I24" s="13">
        <f>IFERROR(G24/C24,"-")</f>
        <v/>
      </c>
    </row>
    <row r="25">
      <c r="A25" s="9" t="n">
        <v>46303</v>
      </c>
      <c r="B25" s="6" t="n"/>
      <c r="C25" s="6" t="n"/>
      <c r="D25" s="10" t="n"/>
      <c r="E25" s="6" t="n"/>
      <c r="F25" s="11">
        <f>IFERROR(B25*$B$9 + C25*($B$10+$B$11+$B$13) + D25*$B$12,0)</f>
        <v/>
      </c>
      <c r="G25" s="11">
        <f>C25-B25-E25-F25</f>
        <v/>
      </c>
      <c r="H25" s="12">
        <f>IFERROR(C25/B25,"-")</f>
        <v/>
      </c>
      <c r="I25" s="13">
        <f>IFERROR(G25/C25,"-")</f>
        <v/>
      </c>
    </row>
    <row r="26">
      <c r="A26" s="9" t="n">
        <v>46304</v>
      </c>
      <c r="B26" s="6" t="n"/>
      <c r="C26" s="6" t="n"/>
      <c r="D26" s="10" t="n"/>
      <c r="E26" s="6" t="n"/>
      <c r="F26" s="11">
        <f>IFERROR(B26*$B$9 + C26*($B$10+$B$11+$B$13) + D26*$B$12,0)</f>
        <v/>
      </c>
      <c r="G26" s="11">
        <f>C26-B26-E26-F26</f>
        <v/>
      </c>
      <c r="H26" s="12">
        <f>IFERROR(C26/B26,"-")</f>
        <v/>
      </c>
      <c r="I26" s="13">
        <f>IFERROR(G26/C26,"-")</f>
        <v/>
      </c>
    </row>
    <row r="27">
      <c r="A27" s="9" t="n">
        <v>46305</v>
      </c>
      <c r="B27" s="6" t="n"/>
      <c r="C27" s="6" t="n"/>
      <c r="D27" s="10" t="n"/>
      <c r="E27" s="6" t="n"/>
      <c r="F27" s="11">
        <f>IFERROR(B27*$B$9 + C27*($B$10+$B$11+$B$13) + D27*$B$12,0)</f>
        <v/>
      </c>
      <c r="G27" s="11">
        <f>C27-B27-E27-F27</f>
        <v/>
      </c>
      <c r="H27" s="12">
        <f>IFERROR(C27/B27,"-")</f>
        <v/>
      </c>
      <c r="I27" s="13">
        <f>IFERROR(G27/C27,"-")</f>
        <v/>
      </c>
    </row>
    <row r="28">
      <c r="A28" s="9" t="n">
        <v>46306</v>
      </c>
      <c r="B28" s="6" t="n"/>
      <c r="C28" s="6" t="n"/>
      <c r="D28" s="10" t="n"/>
      <c r="E28" s="6" t="n"/>
      <c r="F28" s="11">
        <f>IFERROR(B28*$B$9 + C28*($B$10+$B$11+$B$13) + D28*$B$12,0)</f>
        <v/>
      </c>
      <c r="G28" s="11">
        <f>C28-B28-E28-F28</f>
        <v/>
      </c>
      <c r="H28" s="12">
        <f>IFERROR(C28/B28,"-")</f>
        <v/>
      </c>
      <c r="I28" s="13">
        <f>IFERROR(G28/C28,"-")</f>
        <v/>
      </c>
    </row>
    <row r="29">
      <c r="A29" s="9" t="n">
        <v>46307</v>
      </c>
      <c r="B29" s="6" t="n"/>
      <c r="C29" s="6" t="n"/>
      <c r="D29" s="10" t="n"/>
      <c r="E29" s="6" t="n"/>
      <c r="F29" s="11">
        <f>IFERROR(B29*$B$9 + C29*($B$10+$B$11+$B$13) + D29*$B$12,0)</f>
        <v/>
      </c>
      <c r="G29" s="11">
        <f>C29-B29-E29-F29</f>
        <v/>
      </c>
      <c r="H29" s="12">
        <f>IFERROR(C29/B29,"-")</f>
        <v/>
      </c>
      <c r="I29" s="13">
        <f>IFERROR(G29/C29,"-")</f>
        <v/>
      </c>
    </row>
    <row r="30">
      <c r="A30" s="9" t="n">
        <v>46308</v>
      </c>
      <c r="B30" s="6" t="n"/>
      <c r="C30" s="6" t="n"/>
      <c r="D30" s="10" t="n"/>
      <c r="E30" s="6" t="n"/>
      <c r="F30" s="11">
        <f>IFERROR(B30*$B$9 + C30*($B$10+$B$11+$B$13) + D30*$B$12,0)</f>
        <v/>
      </c>
      <c r="G30" s="11">
        <f>C30-B30-E30-F30</f>
        <v/>
      </c>
      <c r="H30" s="12">
        <f>IFERROR(C30/B30,"-")</f>
        <v/>
      </c>
      <c r="I30" s="13">
        <f>IFERROR(G30/C30,"-")</f>
        <v/>
      </c>
    </row>
    <row r="31">
      <c r="A31" s="9" t="n">
        <v>46309</v>
      </c>
      <c r="B31" s="6" t="n"/>
      <c r="C31" s="6" t="n"/>
      <c r="D31" s="10" t="n"/>
      <c r="E31" s="6" t="n"/>
      <c r="F31" s="11">
        <f>IFERROR(B31*$B$9 + C31*($B$10+$B$11+$B$13) + D31*$B$12,0)</f>
        <v/>
      </c>
      <c r="G31" s="11">
        <f>C31-B31-E31-F31</f>
        <v/>
      </c>
      <c r="H31" s="12">
        <f>IFERROR(C31/B31,"-")</f>
        <v/>
      </c>
      <c r="I31" s="13">
        <f>IFERROR(G31/C31,"-")</f>
        <v/>
      </c>
    </row>
    <row r="32">
      <c r="A32" s="9" t="n">
        <v>46310</v>
      </c>
      <c r="B32" s="6" t="n"/>
      <c r="C32" s="6" t="n"/>
      <c r="D32" s="10" t="n"/>
      <c r="E32" s="6" t="n"/>
      <c r="F32" s="11">
        <f>IFERROR(B32*$B$9 + C32*($B$10+$B$11+$B$13) + D32*$B$12,0)</f>
        <v/>
      </c>
      <c r="G32" s="11">
        <f>C32-B32-E32-F32</f>
        <v/>
      </c>
      <c r="H32" s="12">
        <f>IFERROR(C32/B32,"-")</f>
        <v/>
      </c>
      <c r="I32" s="13">
        <f>IFERROR(G32/C32,"-")</f>
        <v/>
      </c>
    </row>
    <row r="33">
      <c r="A33" s="9" t="n">
        <v>46311</v>
      </c>
      <c r="B33" s="6" t="n"/>
      <c r="C33" s="6" t="n"/>
      <c r="D33" s="10" t="n"/>
      <c r="E33" s="6" t="n"/>
      <c r="F33" s="11">
        <f>IFERROR(B33*$B$9 + C33*($B$10+$B$11+$B$13) + D33*$B$12,0)</f>
        <v/>
      </c>
      <c r="G33" s="11">
        <f>C33-B33-E33-F33</f>
        <v/>
      </c>
      <c r="H33" s="12">
        <f>IFERROR(C33/B33,"-")</f>
        <v/>
      </c>
      <c r="I33" s="13">
        <f>IFERROR(G33/C33,"-")</f>
        <v/>
      </c>
    </row>
    <row r="34">
      <c r="A34" s="9" t="n">
        <v>46312</v>
      </c>
      <c r="B34" s="6" t="n"/>
      <c r="C34" s="6" t="n"/>
      <c r="D34" s="10" t="n"/>
      <c r="E34" s="6" t="n"/>
      <c r="F34" s="11">
        <f>IFERROR(B34*$B$9 + C34*($B$10+$B$11+$B$13) + D34*$B$12,0)</f>
        <v/>
      </c>
      <c r="G34" s="11">
        <f>C34-B34-E34-F34</f>
        <v/>
      </c>
      <c r="H34" s="12">
        <f>IFERROR(C34/B34,"-")</f>
        <v/>
      </c>
      <c r="I34" s="13">
        <f>IFERROR(G34/C34,"-")</f>
        <v/>
      </c>
    </row>
    <row r="35">
      <c r="A35" s="9" t="n">
        <v>46313</v>
      </c>
      <c r="B35" s="6" t="n"/>
      <c r="C35" s="6" t="n"/>
      <c r="D35" s="10" t="n"/>
      <c r="E35" s="6" t="n"/>
      <c r="F35" s="11">
        <f>IFERROR(B35*$B$9 + C35*($B$10+$B$11+$B$13) + D35*$B$12,0)</f>
        <v/>
      </c>
      <c r="G35" s="11">
        <f>C35-B35-E35-F35</f>
        <v/>
      </c>
      <c r="H35" s="12">
        <f>IFERROR(C35/B35,"-")</f>
        <v/>
      </c>
      <c r="I35" s="13">
        <f>IFERROR(G35/C35,"-")</f>
        <v/>
      </c>
    </row>
    <row r="36">
      <c r="A36" s="9" t="n">
        <v>46314</v>
      </c>
      <c r="B36" s="6" t="n"/>
      <c r="C36" s="6" t="n"/>
      <c r="D36" s="10" t="n"/>
      <c r="E36" s="6" t="n"/>
      <c r="F36" s="11">
        <f>IFERROR(B36*$B$9 + C36*($B$10+$B$11+$B$13) + D36*$B$12,0)</f>
        <v/>
      </c>
      <c r="G36" s="11">
        <f>C36-B36-E36-F36</f>
        <v/>
      </c>
      <c r="H36" s="12">
        <f>IFERROR(C36/B36,"-")</f>
        <v/>
      </c>
      <c r="I36" s="13">
        <f>IFERROR(G36/C36,"-")</f>
        <v/>
      </c>
    </row>
    <row r="37">
      <c r="A37" s="9" t="n">
        <v>46315</v>
      </c>
      <c r="B37" s="6" t="n"/>
      <c r="C37" s="6" t="n"/>
      <c r="D37" s="10" t="n"/>
      <c r="E37" s="6" t="n"/>
      <c r="F37" s="11">
        <f>IFERROR(B37*$B$9 + C37*($B$10+$B$11+$B$13) + D37*$B$12,0)</f>
        <v/>
      </c>
      <c r="G37" s="11">
        <f>C37-B37-E37-F37</f>
        <v/>
      </c>
      <c r="H37" s="12">
        <f>IFERROR(C37/B37,"-")</f>
        <v/>
      </c>
      <c r="I37" s="13">
        <f>IFERROR(G37/C37,"-")</f>
        <v/>
      </c>
    </row>
    <row r="38">
      <c r="A38" s="9" t="n">
        <v>46316</v>
      </c>
      <c r="B38" s="6" t="n"/>
      <c r="C38" s="6" t="n"/>
      <c r="D38" s="10" t="n"/>
      <c r="E38" s="6" t="n"/>
      <c r="F38" s="11">
        <f>IFERROR(B38*$B$9 + C38*($B$10+$B$11+$B$13) + D38*$B$12,0)</f>
        <v/>
      </c>
      <c r="G38" s="11">
        <f>C38-B38-E38-F38</f>
        <v/>
      </c>
      <c r="H38" s="12">
        <f>IFERROR(C38/B38,"-")</f>
        <v/>
      </c>
      <c r="I38" s="13">
        <f>IFERROR(G38/C38,"-")</f>
        <v/>
      </c>
    </row>
    <row r="39">
      <c r="A39" s="9" t="n">
        <v>46317</v>
      </c>
      <c r="B39" s="6" t="n"/>
      <c r="C39" s="6" t="n"/>
      <c r="D39" s="10" t="n"/>
      <c r="E39" s="6" t="n"/>
      <c r="F39" s="11">
        <f>IFERROR(B39*$B$9 + C39*($B$10+$B$11+$B$13) + D39*$B$12,0)</f>
        <v/>
      </c>
      <c r="G39" s="11">
        <f>C39-B39-E39-F39</f>
        <v/>
      </c>
      <c r="H39" s="12">
        <f>IFERROR(C39/B39,"-")</f>
        <v/>
      </c>
      <c r="I39" s="13">
        <f>IFERROR(G39/C39,"-")</f>
        <v/>
      </c>
    </row>
    <row r="40">
      <c r="A40" s="9" t="n">
        <v>46318</v>
      </c>
      <c r="B40" s="6" t="n"/>
      <c r="C40" s="6" t="n"/>
      <c r="D40" s="10" t="n"/>
      <c r="E40" s="6" t="n"/>
      <c r="F40" s="11">
        <f>IFERROR(B40*$B$9 + C40*($B$10+$B$11+$B$13) + D40*$B$12,0)</f>
        <v/>
      </c>
      <c r="G40" s="11">
        <f>C40-B40-E40-F40</f>
        <v/>
      </c>
      <c r="H40" s="12">
        <f>IFERROR(C40/B40,"-")</f>
        <v/>
      </c>
      <c r="I40" s="13">
        <f>IFERROR(G40/C40,"-")</f>
        <v/>
      </c>
    </row>
    <row r="41">
      <c r="A41" s="9" t="n">
        <v>46319</v>
      </c>
      <c r="B41" s="6" t="n"/>
      <c r="C41" s="6" t="n"/>
      <c r="D41" s="10" t="n"/>
      <c r="E41" s="6" t="n"/>
      <c r="F41" s="11">
        <f>IFERROR(B41*$B$9 + C41*($B$10+$B$11+$B$13) + D41*$B$12,0)</f>
        <v/>
      </c>
      <c r="G41" s="11">
        <f>C41-B41-E41-F41</f>
        <v/>
      </c>
      <c r="H41" s="12">
        <f>IFERROR(C41/B41,"-")</f>
        <v/>
      </c>
      <c r="I41" s="13">
        <f>IFERROR(G41/C41,"-")</f>
        <v/>
      </c>
    </row>
    <row r="42">
      <c r="A42" s="9" t="n">
        <v>46320</v>
      </c>
      <c r="B42" s="6" t="n"/>
      <c r="C42" s="6" t="n"/>
      <c r="D42" s="10" t="n"/>
      <c r="E42" s="6" t="n"/>
      <c r="F42" s="11">
        <f>IFERROR(B42*$B$9 + C42*($B$10+$B$11+$B$13) + D42*$B$12,0)</f>
        <v/>
      </c>
      <c r="G42" s="11">
        <f>C42-B42-E42-F42</f>
        <v/>
      </c>
      <c r="H42" s="12">
        <f>IFERROR(C42/B42,"-")</f>
        <v/>
      </c>
      <c r="I42" s="13">
        <f>IFERROR(G42/C42,"-")</f>
        <v/>
      </c>
    </row>
    <row r="43">
      <c r="A43" s="9" t="n">
        <v>46321</v>
      </c>
      <c r="B43" s="6" t="n"/>
      <c r="C43" s="6" t="n"/>
      <c r="D43" s="10" t="n"/>
      <c r="E43" s="6" t="n"/>
      <c r="F43" s="11">
        <f>IFERROR(B43*$B$9 + C43*($B$10+$B$11+$B$13) + D43*$B$12,0)</f>
        <v/>
      </c>
      <c r="G43" s="11">
        <f>C43-B43-E43-F43</f>
        <v/>
      </c>
      <c r="H43" s="12">
        <f>IFERROR(C43/B43,"-")</f>
        <v/>
      </c>
      <c r="I43" s="13">
        <f>IFERROR(G43/C43,"-")</f>
        <v/>
      </c>
    </row>
    <row r="44">
      <c r="A44" s="9" t="n">
        <v>46322</v>
      </c>
      <c r="B44" s="6" t="n"/>
      <c r="C44" s="6" t="n"/>
      <c r="D44" s="10" t="n"/>
      <c r="E44" s="6" t="n"/>
      <c r="F44" s="11">
        <f>IFERROR(B44*$B$9 + C44*($B$10+$B$11+$B$13) + D44*$B$12,0)</f>
        <v/>
      </c>
      <c r="G44" s="11">
        <f>C44-B44-E44-F44</f>
        <v/>
      </c>
      <c r="H44" s="12">
        <f>IFERROR(C44/B44,"-")</f>
        <v/>
      </c>
      <c r="I44" s="13">
        <f>IFERROR(G44/C44,"-")</f>
        <v/>
      </c>
    </row>
    <row r="45">
      <c r="A45" s="9" t="n">
        <v>46323</v>
      </c>
      <c r="B45" s="6" t="n"/>
      <c r="C45" s="6" t="n"/>
      <c r="D45" s="10" t="n"/>
      <c r="E45" s="6" t="n"/>
      <c r="F45" s="11">
        <f>IFERROR(B45*$B$9 + C45*($B$10+$B$11+$B$13) + D45*$B$12,0)</f>
        <v/>
      </c>
      <c r="G45" s="11">
        <f>C45-B45-E45-F45</f>
        <v/>
      </c>
      <c r="H45" s="12">
        <f>IFERROR(C45/B45,"-")</f>
        <v/>
      </c>
      <c r="I45" s="13">
        <f>IFERROR(G45/C45,"-")</f>
        <v/>
      </c>
    </row>
    <row r="46">
      <c r="A46" s="9" t="n">
        <v>46324</v>
      </c>
      <c r="B46" s="6" t="n"/>
      <c r="C46" s="6" t="n"/>
      <c r="D46" s="10" t="n"/>
      <c r="E46" s="6" t="n"/>
      <c r="F46" s="11">
        <f>IFERROR(B46*$B$9 + C46*($B$10+$B$11+$B$13) + D46*$B$12,0)</f>
        <v/>
      </c>
      <c r="G46" s="11">
        <f>C46-B46-E46-F46</f>
        <v/>
      </c>
      <c r="H46" s="12">
        <f>IFERROR(C46/B46,"-")</f>
        <v/>
      </c>
      <c r="I46" s="13">
        <f>IFERROR(G46/C46,"-")</f>
        <v/>
      </c>
    </row>
    <row r="47">
      <c r="A47" s="9" t="n">
        <v>46325</v>
      </c>
      <c r="B47" s="6" t="n"/>
      <c r="C47" s="6" t="n"/>
      <c r="D47" s="10" t="n"/>
      <c r="E47" s="6" t="n"/>
      <c r="F47" s="11">
        <f>IFERROR(B47*$B$9 + C47*($B$10+$B$11+$B$13) + D47*$B$12,0)</f>
        <v/>
      </c>
      <c r="G47" s="11">
        <f>C47-B47-E47-F47</f>
        <v/>
      </c>
      <c r="H47" s="12">
        <f>IFERROR(C47/B47,"-")</f>
        <v/>
      </c>
      <c r="I47" s="13">
        <f>IFERROR(G47/C47,"-")</f>
        <v/>
      </c>
    </row>
    <row r="48">
      <c r="A48" s="9" t="n">
        <v>46326</v>
      </c>
      <c r="B48" s="6" t="n"/>
      <c r="C48" s="6" t="n"/>
      <c r="D48" s="10" t="n"/>
      <c r="E48" s="6" t="n"/>
      <c r="F48" s="11">
        <f>IFERROR(B48*$B$9 + C48*($B$10+$B$11+$B$13) + D48*$B$12,0)</f>
        <v/>
      </c>
      <c r="G48" s="11">
        <f>C48-B48-E48-F48</f>
        <v/>
      </c>
      <c r="H48" s="12">
        <f>IFERROR(C48/B48,"-")</f>
        <v/>
      </c>
      <c r="I48" s="13">
        <f>IFERROR(G48/C48,"-")</f>
        <v/>
      </c>
    </row>
    <row r="49">
      <c r="A49" s="14" t="inlineStr">
        <is>
          <t>TOTAAL</t>
        </is>
      </c>
      <c r="B49" s="15">
        <f>SUM(B18:B48)</f>
        <v/>
      </c>
      <c r="C49" s="15">
        <f>SUM(C18:C48)</f>
        <v/>
      </c>
      <c r="D49" s="16">
        <f>SUM(D18:D48)</f>
        <v/>
      </c>
      <c r="E49" s="15">
        <f>SUM(E18:E48)</f>
        <v/>
      </c>
      <c r="F49" s="15">
        <f>SUM(F18:F48)</f>
        <v/>
      </c>
      <c r="G49" s="15">
        <f>SUM(G18:G48)</f>
        <v/>
      </c>
      <c r="H49" s="17">
        <f>IFERROR(C49/B49,"-")</f>
        <v/>
      </c>
      <c r="I49" s="18">
        <f>IFERROR(G49/C49,"-")</f>
        <v/>
      </c>
    </row>
    <row r="51">
      <c r="A51" s="19" t="inlineStr">
        <is>
          <t>Geel = zelf invullen. Vul per dag Adspend, Omzet, #Orders en COG totaal in. Adspend fee = 4% van de adspend. Fees, Winst, ROAS en Winstmarge rekenen automatisch.</t>
        </is>
      </c>
    </row>
  </sheetData>
  <mergeCells count="5">
    <mergeCell ref="A3:H3"/>
    <mergeCell ref="A51:I51"/>
    <mergeCell ref="A1:H1"/>
    <mergeCell ref="A8:H8"/>
    <mergeCell ref="A16:I16"/>
  </mergeCells>
  <conditionalFormatting sqref="G18:G4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18:I49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1" customWidth="1" min="4" max="4"/>
    <col width="14" customWidth="1" min="5" max="5"/>
    <col width="13" customWidth="1" min="6" max="6"/>
    <col width="13" customWidth="1" min="7" max="7"/>
    <col width="10" customWidth="1" min="8" max="8"/>
    <col width="12" customWidth="1" min="9" max="9"/>
  </cols>
  <sheetData>
    <row r="1" ht="19.5" customHeight="1">
      <c r="A1" s="1" t="inlineStr">
        <is>
          <t>Goatly P&amp;L</t>
        </is>
      </c>
    </row>
    <row r="3">
      <c r="A3" s="2" t="inlineStr">
        <is>
          <t>INKOOP / COG per product (vul je eigen bedragen in)</t>
        </is>
      </c>
    </row>
    <row r="4">
      <c r="A4" s="3" t="n"/>
      <c r="B4" s="4" t="inlineStr">
        <is>
          <t>P1 (1 zak)</t>
        </is>
      </c>
      <c r="C4" s="4" t="inlineStr">
        <is>
          <t>P3 (2+1)</t>
        </is>
      </c>
      <c r="D4" s="4" t="inlineStr">
        <is>
          <t>P5 (3+2)</t>
        </is>
      </c>
    </row>
    <row r="5">
      <c r="A5" s="5" t="inlineStr">
        <is>
          <t>Verkoopprijs</t>
        </is>
      </c>
      <c r="B5" s="6" t="n">
        <v>39.95</v>
      </c>
      <c r="C5" s="6" t="n">
        <v>69.95</v>
      </c>
      <c r="D5" s="6" t="n">
        <v>109.95</v>
      </c>
    </row>
    <row r="6">
      <c r="A6" s="5" t="inlineStr">
        <is>
          <t>Inkoop (COG)</t>
        </is>
      </c>
      <c r="B6" s="6" t="n">
        <v>13.34</v>
      </c>
      <c r="C6" s="6" t="n">
        <v>25.28</v>
      </c>
      <c r="D6" s="6" t="n">
        <v>37.74</v>
      </c>
    </row>
    <row r="8">
      <c r="A8" s="2" t="inlineStr">
        <is>
          <t>Fees (vul je eigen waarden in)</t>
        </is>
      </c>
    </row>
    <row r="9">
      <c r="A9" s="5" t="inlineStr">
        <is>
          <t>Adspend fee % (van adspend)</t>
        </is>
      </c>
      <c r="B9" s="7" t="n">
        <v>0.04</v>
      </c>
    </row>
    <row r="10">
      <c r="A10" s="5" t="inlineStr">
        <is>
          <t>Checkify %</t>
        </is>
      </c>
      <c r="B10" s="7" t="n">
        <v>0.0065</v>
      </c>
    </row>
    <row r="11">
      <c r="A11" s="5" t="inlineStr">
        <is>
          <t xml:space="preserve">Stripe % </t>
        </is>
      </c>
      <c r="B11" s="7" t="n">
        <v>0</v>
      </c>
    </row>
    <row r="12">
      <c r="A12" s="5" t="inlineStr">
        <is>
          <t>Stripe vast p/order</t>
        </is>
      </c>
      <c r="B12" s="6" t="n">
        <v>0.32</v>
      </c>
    </row>
    <row r="13">
      <c r="A13" s="5" t="inlineStr">
        <is>
          <t>Shopify %</t>
        </is>
      </c>
      <c r="B13" s="7" t="n">
        <v>0.005</v>
      </c>
    </row>
    <row r="16">
      <c r="A16" s="2" t="inlineStr">
        <is>
          <t>DAGELIJKSE P&amp;L</t>
        </is>
      </c>
    </row>
    <row r="17">
      <c r="A17" s="8" t="inlineStr">
        <is>
          <t>Datum</t>
        </is>
      </c>
      <c r="B17" s="8" t="inlineStr">
        <is>
          <t>Adspend</t>
        </is>
      </c>
      <c r="C17" s="8" t="inlineStr">
        <is>
          <t>Omzet</t>
        </is>
      </c>
      <c r="D17" s="8" t="inlineStr">
        <is>
          <t># Orders</t>
        </is>
      </c>
      <c r="E17" s="8" t="inlineStr">
        <is>
          <t>COG totaal</t>
        </is>
      </c>
      <c r="F17" s="8" t="inlineStr">
        <is>
          <t>Fees totaal</t>
        </is>
      </c>
      <c r="G17" s="8" t="inlineStr">
        <is>
          <t>Winst</t>
        </is>
      </c>
      <c r="H17" s="8" t="inlineStr">
        <is>
          <t>ROAS</t>
        </is>
      </c>
      <c r="I17" s="8" t="inlineStr">
        <is>
          <t>Winstmarge</t>
        </is>
      </c>
    </row>
    <row r="18">
      <c r="A18" s="9" t="n">
        <v>46327</v>
      </c>
      <c r="B18" s="6" t="n"/>
      <c r="C18" s="6" t="n"/>
      <c r="D18" s="10" t="n"/>
      <c r="E18" s="6" t="n"/>
      <c r="F18" s="11">
        <f>IFERROR(B18*$B$9 + C18*($B$10+$B$11+$B$13) + D18*$B$12,0)</f>
        <v/>
      </c>
      <c r="G18" s="11">
        <f>C18-B18-E18-F18</f>
        <v/>
      </c>
      <c r="H18" s="12">
        <f>IFERROR(C18/B18,"-")</f>
        <v/>
      </c>
      <c r="I18" s="13">
        <f>IFERROR(G18/C18,"-")</f>
        <v/>
      </c>
    </row>
    <row r="19">
      <c r="A19" s="9" t="n">
        <v>46328</v>
      </c>
      <c r="B19" s="6" t="n"/>
      <c r="C19" s="6" t="n"/>
      <c r="D19" s="10" t="n"/>
      <c r="E19" s="6" t="n"/>
      <c r="F19" s="11">
        <f>IFERROR(B19*$B$9 + C19*($B$10+$B$11+$B$13) + D19*$B$12,0)</f>
        <v/>
      </c>
      <c r="G19" s="11">
        <f>C19-B19-E19-F19</f>
        <v/>
      </c>
      <c r="H19" s="12">
        <f>IFERROR(C19/B19,"-")</f>
        <v/>
      </c>
      <c r="I19" s="13">
        <f>IFERROR(G19/C19,"-")</f>
        <v/>
      </c>
    </row>
    <row r="20">
      <c r="A20" s="9" t="n">
        <v>46329</v>
      </c>
      <c r="B20" s="6" t="n"/>
      <c r="C20" s="6" t="n"/>
      <c r="D20" s="10" t="n"/>
      <c r="E20" s="6" t="n"/>
      <c r="F20" s="11">
        <f>IFERROR(B20*$B$9 + C20*($B$10+$B$11+$B$13) + D20*$B$12,0)</f>
        <v/>
      </c>
      <c r="G20" s="11">
        <f>C20-B20-E20-F20</f>
        <v/>
      </c>
      <c r="H20" s="12">
        <f>IFERROR(C20/B20,"-")</f>
        <v/>
      </c>
      <c r="I20" s="13">
        <f>IFERROR(G20/C20,"-")</f>
        <v/>
      </c>
    </row>
    <row r="21">
      <c r="A21" s="9" t="n">
        <v>46330</v>
      </c>
      <c r="B21" s="6" t="n"/>
      <c r="C21" s="6" t="n"/>
      <c r="D21" s="10" t="n"/>
      <c r="E21" s="6" t="n"/>
      <c r="F21" s="11">
        <f>IFERROR(B21*$B$9 + C21*($B$10+$B$11+$B$13) + D21*$B$12,0)</f>
        <v/>
      </c>
      <c r="G21" s="11">
        <f>C21-B21-E21-F21</f>
        <v/>
      </c>
      <c r="H21" s="12">
        <f>IFERROR(C21/B21,"-")</f>
        <v/>
      </c>
      <c r="I21" s="13">
        <f>IFERROR(G21/C21,"-")</f>
        <v/>
      </c>
    </row>
    <row r="22">
      <c r="A22" s="9" t="n">
        <v>46331</v>
      </c>
      <c r="B22" s="6" t="n"/>
      <c r="C22" s="6" t="n"/>
      <c r="D22" s="10" t="n"/>
      <c r="E22" s="6" t="n"/>
      <c r="F22" s="11">
        <f>IFERROR(B22*$B$9 + C22*($B$10+$B$11+$B$13) + D22*$B$12,0)</f>
        <v/>
      </c>
      <c r="G22" s="11">
        <f>C22-B22-E22-F22</f>
        <v/>
      </c>
      <c r="H22" s="12">
        <f>IFERROR(C22/B22,"-")</f>
        <v/>
      </c>
      <c r="I22" s="13">
        <f>IFERROR(G22/C22,"-")</f>
        <v/>
      </c>
    </row>
    <row r="23">
      <c r="A23" s="9" t="n">
        <v>46332</v>
      </c>
      <c r="B23" s="6" t="n"/>
      <c r="C23" s="6" t="n"/>
      <c r="D23" s="10" t="n"/>
      <c r="E23" s="6" t="n"/>
      <c r="F23" s="11">
        <f>IFERROR(B23*$B$9 + C23*($B$10+$B$11+$B$13) + D23*$B$12,0)</f>
        <v/>
      </c>
      <c r="G23" s="11">
        <f>C23-B23-E23-F23</f>
        <v/>
      </c>
      <c r="H23" s="12">
        <f>IFERROR(C23/B23,"-")</f>
        <v/>
      </c>
      <c r="I23" s="13">
        <f>IFERROR(G23/C23,"-")</f>
        <v/>
      </c>
    </row>
    <row r="24">
      <c r="A24" s="9" t="n">
        <v>46333</v>
      </c>
      <c r="B24" s="6" t="n"/>
      <c r="C24" s="6" t="n"/>
      <c r="D24" s="10" t="n"/>
      <c r="E24" s="6" t="n"/>
      <c r="F24" s="11">
        <f>IFERROR(B24*$B$9 + C24*($B$10+$B$11+$B$13) + D24*$B$12,0)</f>
        <v/>
      </c>
      <c r="G24" s="11">
        <f>C24-B24-E24-F24</f>
        <v/>
      </c>
      <c r="H24" s="12">
        <f>IFERROR(C24/B24,"-")</f>
        <v/>
      </c>
      <c r="I24" s="13">
        <f>IFERROR(G24/C24,"-")</f>
        <v/>
      </c>
    </row>
    <row r="25">
      <c r="A25" s="9" t="n">
        <v>46334</v>
      </c>
      <c r="B25" s="6" t="n"/>
      <c r="C25" s="6" t="n"/>
      <c r="D25" s="10" t="n"/>
      <c r="E25" s="6" t="n"/>
      <c r="F25" s="11">
        <f>IFERROR(B25*$B$9 + C25*($B$10+$B$11+$B$13) + D25*$B$12,0)</f>
        <v/>
      </c>
      <c r="G25" s="11">
        <f>C25-B25-E25-F25</f>
        <v/>
      </c>
      <c r="H25" s="12">
        <f>IFERROR(C25/B25,"-")</f>
        <v/>
      </c>
      <c r="I25" s="13">
        <f>IFERROR(G25/C25,"-")</f>
        <v/>
      </c>
    </row>
    <row r="26">
      <c r="A26" s="9" t="n">
        <v>46335</v>
      </c>
      <c r="B26" s="6" t="n"/>
      <c r="C26" s="6" t="n"/>
      <c r="D26" s="10" t="n"/>
      <c r="E26" s="6" t="n"/>
      <c r="F26" s="11">
        <f>IFERROR(B26*$B$9 + C26*($B$10+$B$11+$B$13) + D26*$B$12,0)</f>
        <v/>
      </c>
      <c r="G26" s="11">
        <f>C26-B26-E26-F26</f>
        <v/>
      </c>
      <c r="H26" s="12">
        <f>IFERROR(C26/B26,"-")</f>
        <v/>
      </c>
      <c r="I26" s="13">
        <f>IFERROR(G26/C26,"-")</f>
        <v/>
      </c>
    </row>
    <row r="27">
      <c r="A27" s="9" t="n">
        <v>46336</v>
      </c>
      <c r="B27" s="6" t="n"/>
      <c r="C27" s="6" t="n"/>
      <c r="D27" s="10" t="n"/>
      <c r="E27" s="6" t="n"/>
      <c r="F27" s="11">
        <f>IFERROR(B27*$B$9 + C27*($B$10+$B$11+$B$13) + D27*$B$12,0)</f>
        <v/>
      </c>
      <c r="G27" s="11">
        <f>C27-B27-E27-F27</f>
        <v/>
      </c>
      <c r="H27" s="12">
        <f>IFERROR(C27/B27,"-")</f>
        <v/>
      </c>
      <c r="I27" s="13">
        <f>IFERROR(G27/C27,"-")</f>
        <v/>
      </c>
    </row>
    <row r="28">
      <c r="A28" s="9" t="n">
        <v>46337</v>
      </c>
      <c r="B28" s="6" t="n"/>
      <c r="C28" s="6" t="n"/>
      <c r="D28" s="10" t="n"/>
      <c r="E28" s="6" t="n"/>
      <c r="F28" s="11">
        <f>IFERROR(B28*$B$9 + C28*($B$10+$B$11+$B$13) + D28*$B$12,0)</f>
        <v/>
      </c>
      <c r="G28" s="11">
        <f>C28-B28-E28-F28</f>
        <v/>
      </c>
      <c r="H28" s="12">
        <f>IFERROR(C28/B28,"-")</f>
        <v/>
      </c>
      <c r="I28" s="13">
        <f>IFERROR(G28/C28,"-")</f>
        <v/>
      </c>
    </row>
    <row r="29">
      <c r="A29" s="9" t="n">
        <v>46338</v>
      </c>
      <c r="B29" s="6" t="n"/>
      <c r="C29" s="6" t="n"/>
      <c r="D29" s="10" t="n"/>
      <c r="E29" s="6" t="n"/>
      <c r="F29" s="11">
        <f>IFERROR(B29*$B$9 + C29*($B$10+$B$11+$B$13) + D29*$B$12,0)</f>
        <v/>
      </c>
      <c r="G29" s="11">
        <f>C29-B29-E29-F29</f>
        <v/>
      </c>
      <c r="H29" s="12">
        <f>IFERROR(C29/B29,"-")</f>
        <v/>
      </c>
      <c r="I29" s="13">
        <f>IFERROR(G29/C29,"-")</f>
        <v/>
      </c>
    </row>
    <row r="30">
      <c r="A30" s="9" t="n">
        <v>46339</v>
      </c>
      <c r="B30" s="6" t="n"/>
      <c r="C30" s="6" t="n"/>
      <c r="D30" s="10" t="n"/>
      <c r="E30" s="6" t="n"/>
      <c r="F30" s="11">
        <f>IFERROR(B30*$B$9 + C30*($B$10+$B$11+$B$13) + D30*$B$12,0)</f>
        <v/>
      </c>
      <c r="G30" s="11">
        <f>C30-B30-E30-F30</f>
        <v/>
      </c>
      <c r="H30" s="12">
        <f>IFERROR(C30/B30,"-")</f>
        <v/>
      </c>
      <c r="I30" s="13">
        <f>IFERROR(G30/C30,"-")</f>
        <v/>
      </c>
    </row>
    <row r="31">
      <c r="A31" s="9" t="n">
        <v>46340</v>
      </c>
      <c r="B31" s="6" t="n"/>
      <c r="C31" s="6" t="n"/>
      <c r="D31" s="10" t="n"/>
      <c r="E31" s="6" t="n"/>
      <c r="F31" s="11">
        <f>IFERROR(B31*$B$9 + C31*($B$10+$B$11+$B$13) + D31*$B$12,0)</f>
        <v/>
      </c>
      <c r="G31" s="11">
        <f>C31-B31-E31-F31</f>
        <v/>
      </c>
      <c r="H31" s="12">
        <f>IFERROR(C31/B31,"-")</f>
        <v/>
      </c>
      <c r="I31" s="13">
        <f>IFERROR(G31/C31,"-")</f>
        <v/>
      </c>
    </row>
    <row r="32">
      <c r="A32" s="9" t="n">
        <v>46341</v>
      </c>
      <c r="B32" s="6" t="n"/>
      <c r="C32" s="6" t="n"/>
      <c r="D32" s="10" t="n"/>
      <c r="E32" s="6" t="n"/>
      <c r="F32" s="11">
        <f>IFERROR(B32*$B$9 + C32*($B$10+$B$11+$B$13) + D32*$B$12,0)</f>
        <v/>
      </c>
      <c r="G32" s="11">
        <f>C32-B32-E32-F32</f>
        <v/>
      </c>
      <c r="H32" s="12">
        <f>IFERROR(C32/B32,"-")</f>
        <v/>
      </c>
      <c r="I32" s="13">
        <f>IFERROR(G32/C32,"-")</f>
        <v/>
      </c>
    </row>
    <row r="33">
      <c r="A33" s="9" t="n">
        <v>46342</v>
      </c>
      <c r="B33" s="6" t="n"/>
      <c r="C33" s="6" t="n"/>
      <c r="D33" s="10" t="n"/>
      <c r="E33" s="6" t="n"/>
      <c r="F33" s="11">
        <f>IFERROR(B33*$B$9 + C33*($B$10+$B$11+$B$13) + D33*$B$12,0)</f>
        <v/>
      </c>
      <c r="G33" s="11">
        <f>C33-B33-E33-F33</f>
        <v/>
      </c>
      <c r="H33" s="12">
        <f>IFERROR(C33/B33,"-")</f>
        <v/>
      </c>
      <c r="I33" s="13">
        <f>IFERROR(G33/C33,"-")</f>
        <v/>
      </c>
    </row>
    <row r="34">
      <c r="A34" s="9" t="n">
        <v>46343</v>
      </c>
      <c r="B34" s="6" t="n"/>
      <c r="C34" s="6" t="n"/>
      <c r="D34" s="10" t="n"/>
      <c r="E34" s="6" t="n"/>
      <c r="F34" s="11">
        <f>IFERROR(B34*$B$9 + C34*($B$10+$B$11+$B$13) + D34*$B$12,0)</f>
        <v/>
      </c>
      <c r="G34" s="11">
        <f>C34-B34-E34-F34</f>
        <v/>
      </c>
      <c r="H34" s="12">
        <f>IFERROR(C34/B34,"-")</f>
        <v/>
      </c>
      <c r="I34" s="13">
        <f>IFERROR(G34/C34,"-")</f>
        <v/>
      </c>
    </row>
    <row r="35">
      <c r="A35" s="9" t="n">
        <v>46344</v>
      </c>
      <c r="B35" s="6" t="n"/>
      <c r="C35" s="6" t="n"/>
      <c r="D35" s="10" t="n"/>
      <c r="E35" s="6" t="n"/>
      <c r="F35" s="11">
        <f>IFERROR(B35*$B$9 + C35*($B$10+$B$11+$B$13) + D35*$B$12,0)</f>
        <v/>
      </c>
      <c r="G35" s="11">
        <f>C35-B35-E35-F35</f>
        <v/>
      </c>
      <c r="H35" s="12">
        <f>IFERROR(C35/B35,"-")</f>
        <v/>
      </c>
      <c r="I35" s="13">
        <f>IFERROR(G35/C35,"-")</f>
        <v/>
      </c>
    </row>
    <row r="36">
      <c r="A36" s="9" t="n">
        <v>46345</v>
      </c>
      <c r="B36" s="6" t="n"/>
      <c r="C36" s="6" t="n"/>
      <c r="D36" s="10" t="n"/>
      <c r="E36" s="6" t="n"/>
      <c r="F36" s="11">
        <f>IFERROR(B36*$B$9 + C36*($B$10+$B$11+$B$13) + D36*$B$12,0)</f>
        <v/>
      </c>
      <c r="G36" s="11">
        <f>C36-B36-E36-F36</f>
        <v/>
      </c>
      <c r="H36" s="12">
        <f>IFERROR(C36/B36,"-")</f>
        <v/>
      </c>
      <c r="I36" s="13">
        <f>IFERROR(G36/C36,"-")</f>
        <v/>
      </c>
    </row>
    <row r="37">
      <c r="A37" s="9" t="n">
        <v>46346</v>
      </c>
      <c r="B37" s="6" t="n"/>
      <c r="C37" s="6" t="n"/>
      <c r="D37" s="10" t="n"/>
      <c r="E37" s="6" t="n"/>
      <c r="F37" s="11">
        <f>IFERROR(B37*$B$9 + C37*($B$10+$B$11+$B$13) + D37*$B$12,0)</f>
        <v/>
      </c>
      <c r="G37" s="11">
        <f>C37-B37-E37-F37</f>
        <v/>
      </c>
      <c r="H37" s="12">
        <f>IFERROR(C37/B37,"-")</f>
        <v/>
      </c>
      <c r="I37" s="13">
        <f>IFERROR(G37/C37,"-")</f>
        <v/>
      </c>
    </row>
    <row r="38">
      <c r="A38" s="9" t="n">
        <v>46347</v>
      </c>
      <c r="B38" s="6" t="n"/>
      <c r="C38" s="6" t="n"/>
      <c r="D38" s="10" t="n"/>
      <c r="E38" s="6" t="n"/>
      <c r="F38" s="11">
        <f>IFERROR(B38*$B$9 + C38*($B$10+$B$11+$B$13) + D38*$B$12,0)</f>
        <v/>
      </c>
      <c r="G38" s="11">
        <f>C38-B38-E38-F38</f>
        <v/>
      </c>
      <c r="H38" s="12">
        <f>IFERROR(C38/B38,"-")</f>
        <v/>
      </c>
      <c r="I38" s="13">
        <f>IFERROR(G38/C38,"-")</f>
        <v/>
      </c>
    </row>
    <row r="39">
      <c r="A39" s="9" t="n">
        <v>46348</v>
      </c>
      <c r="B39" s="6" t="n"/>
      <c r="C39" s="6" t="n"/>
      <c r="D39" s="10" t="n"/>
      <c r="E39" s="6" t="n"/>
      <c r="F39" s="11">
        <f>IFERROR(B39*$B$9 + C39*($B$10+$B$11+$B$13) + D39*$B$12,0)</f>
        <v/>
      </c>
      <c r="G39" s="11">
        <f>C39-B39-E39-F39</f>
        <v/>
      </c>
      <c r="H39" s="12">
        <f>IFERROR(C39/B39,"-")</f>
        <v/>
      </c>
      <c r="I39" s="13">
        <f>IFERROR(G39/C39,"-")</f>
        <v/>
      </c>
    </row>
    <row r="40">
      <c r="A40" s="9" t="n">
        <v>46349</v>
      </c>
      <c r="B40" s="6" t="n"/>
      <c r="C40" s="6" t="n"/>
      <c r="D40" s="10" t="n"/>
      <c r="E40" s="6" t="n"/>
      <c r="F40" s="11">
        <f>IFERROR(B40*$B$9 + C40*($B$10+$B$11+$B$13) + D40*$B$12,0)</f>
        <v/>
      </c>
      <c r="G40" s="11">
        <f>C40-B40-E40-F40</f>
        <v/>
      </c>
      <c r="H40" s="12">
        <f>IFERROR(C40/B40,"-")</f>
        <v/>
      </c>
      <c r="I40" s="13">
        <f>IFERROR(G40/C40,"-")</f>
        <v/>
      </c>
    </row>
    <row r="41">
      <c r="A41" s="9" t="n">
        <v>46350</v>
      </c>
      <c r="B41" s="6" t="n"/>
      <c r="C41" s="6" t="n"/>
      <c r="D41" s="10" t="n"/>
      <c r="E41" s="6" t="n"/>
      <c r="F41" s="11">
        <f>IFERROR(B41*$B$9 + C41*($B$10+$B$11+$B$13) + D41*$B$12,0)</f>
        <v/>
      </c>
      <c r="G41" s="11">
        <f>C41-B41-E41-F41</f>
        <v/>
      </c>
      <c r="H41" s="12">
        <f>IFERROR(C41/B41,"-")</f>
        <v/>
      </c>
      <c r="I41" s="13">
        <f>IFERROR(G41/C41,"-")</f>
        <v/>
      </c>
    </row>
    <row r="42">
      <c r="A42" s="9" t="n">
        <v>46351</v>
      </c>
      <c r="B42" s="6" t="n"/>
      <c r="C42" s="6" t="n"/>
      <c r="D42" s="10" t="n"/>
      <c r="E42" s="6" t="n"/>
      <c r="F42" s="11">
        <f>IFERROR(B42*$B$9 + C42*($B$10+$B$11+$B$13) + D42*$B$12,0)</f>
        <v/>
      </c>
      <c r="G42" s="11">
        <f>C42-B42-E42-F42</f>
        <v/>
      </c>
      <c r="H42" s="12">
        <f>IFERROR(C42/B42,"-")</f>
        <v/>
      </c>
      <c r="I42" s="13">
        <f>IFERROR(G42/C42,"-")</f>
        <v/>
      </c>
    </row>
    <row r="43">
      <c r="A43" s="9" t="n">
        <v>46352</v>
      </c>
      <c r="B43" s="6" t="n"/>
      <c r="C43" s="6" t="n"/>
      <c r="D43" s="10" t="n"/>
      <c r="E43" s="6" t="n"/>
      <c r="F43" s="11">
        <f>IFERROR(B43*$B$9 + C43*($B$10+$B$11+$B$13) + D43*$B$12,0)</f>
        <v/>
      </c>
      <c r="G43" s="11">
        <f>C43-B43-E43-F43</f>
        <v/>
      </c>
      <c r="H43" s="12">
        <f>IFERROR(C43/B43,"-")</f>
        <v/>
      </c>
      <c r="I43" s="13">
        <f>IFERROR(G43/C43,"-")</f>
        <v/>
      </c>
    </row>
    <row r="44">
      <c r="A44" s="9" t="n">
        <v>46353</v>
      </c>
      <c r="B44" s="6" t="n"/>
      <c r="C44" s="6" t="n"/>
      <c r="D44" s="10" t="n"/>
      <c r="E44" s="6" t="n"/>
      <c r="F44" s="11">
        <f>IFERROR(B44*$B$9 + C44*($B$10+$B$11+$B$13) + D44*$B$12,0)</f>
        <v/>
      </c>
      <c r="G44" s="11">
        <f>C44-B44-E44-F44</f>
        <v/>
      </c>
      <c r="H44" s="12">
        <f>IFERROR(C44/B44,"-")</f>
        <v/>
      </c>
      <c r="I44" s="13">
        <f>IFERROR(G44/C44,"-")</f>
        <v/>
      </c>
    </row>
    <row r="45">
      <c r="A45" s="9" t="n">
        <v>46354</v>
      </c>
      <c r="B45" s="6" t="n"/>
      <c r="C45" s="6" t="n"/>
      <c r="D45" s="10" t="n"/>
      <c r="E45" s="6" t="n"/>
      <c r="F45" s="11">
        <f>IFERROR(B45*$B$9 + C45*($B$10+$B$11+$B$13) + D45*$B$12,0)</f>
        <v/>
      </c>
      <c r="G45" s="11">
        <f>C45-B45-E45-F45</f>
        <v/>
      </c>
      <c r="H45" s="12">
        <f>IFERROR(C45/B45,"-")</f>
        <v/>
      </c>
      <c r="I45" s="13">
        <f>IFERROR(G45/C45,"-")</f>
        <v/>
      </c>
    </row>
    <row r="46">
      <c r="A46" s="9" t="n">
        <v>46355</v>
      </c>
      <c r="B46" s="6" t="n"/>
      <c r="C46" s="6" t="n"/>
      <c r="D46" s="10" t="n"/>
      <c r="E46" s="6" t="n"/>
      <c r="F46" s="11">
        <f>IFERROR(B46*$B$9 + C46*($B$10+$B$11+$B$13) + D46*$B$12,0)</f>
        <v/>
      </c>
      <c r="G46" s="11">
        <f>C46-B46-E46-F46</f>
        <v/>
      </c>
      <c r="H46" s="12">
        <f>IFERROR(C46/B46,"-")</f>
        <v/>
      </c>
      <c r="I46" s="13">
        <f>IFERROR(G46/C46,"-")</f>
        <v/>
      </c>
    </row>
    <row r="47">
      <c r="A47" s="9" t="n">
        <v>46356</v>
      </c>
      <c r="B47" s="6" t="n"/>
      <c r="C47" s="6" t="n"/>
      <c r="D47" s="10" t="n"/>
      <c r="E47" s="6" t="n"/>
      <c r="F47" s="11">
        <f>IFERROR(B47*$B$9 + C47*($B$10+$B$11+$B$13) + D47*$B$12,0)</f>
        <v/>
      </c>
      <c r="G47" s="11">
        <f>C47-B47-E47-F47</f>
        <v/>
      </c>
      <c r="H47" s="12">
        <f>IFERROR(C47/B47,"-")</f>
        <v/>
      </c>
      <c r="I47" s="13">
        <f>IFERROR(G47/C47,"-")</f>
        <v/>
      </c>
    </row>
    <row r="48">
      <c r="A48" s="14" t="inlineStr">
        <is>
          <t>TOTAAL</t>
        </is>
      </c>
      <c r="B48" s="15">
        <f>SUM(B18:B47)</f>
        <v/>
      </c>
      <c r="C48" s="15">
        <f>SUM(C18:C47)</f>
        <v/>
      </c>
      <c r="D48" s="16">
        <f>SUM(D18:D47)</f>
        <v/>
      </c>
      <c r="E48" s="15">
        <f>SUM(E18:E47)</f>
        <v/>
      </c>
      <c r="F48" s="15">
        <f>SUM(F18:F47)</f>
        <v/>
      </c>
      <c r="G48" s="15">
        <f>SUM(G18:G47)</f>
        <v/>
      </c>
      <c r="H48" s="17">
        <f>IFERROR(C48/B48,"-")</f>
        <v/>
      </c>
      <c r="I48" s="18">
        <f>IFERROR(G48/C48,"-")</f>
        <v/>
      </c>
    </row>
    <row r="50">
      <c r="A50" s="19" t="inlineStr">
        <is>
          <t>Geel = zelf invullen. Vul per dag Adspend, Omzet, #Orders en COG totaal in. Adspend fee = 4% van de adspend. Fees, Winst, ROAS en Winstmarge rekenen automatisch.</t>
        </is>
      </c>
    </row>
  </sheetData>
  <mergeCells count="5">
    <mergeCell ref="A3:H3"/>
    <mergeCell ref="A1:H1"/>
    <mergeCell ref="A50:I50"/>
    <mergeCell ref="A8:H8"/>
    <mergeCell ref="A16:I16"/>
  </mergeCells>
  <conditionalFormatting sqref="G18:G4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18:I4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1" customWidth="1" min="4" max="4"/>
    <col width="14" customWidth="1" min="5" max="5"/>
    <col width="13" customWidth="1" min="6" max="6"/>
    <col width="13" customWidth="1" min="7" max="7"/>
    <col width="10" customWidth="1" min="8" max="8"/>
    <col width="12" customWidth="1" min="9" max="9"/>
  </cols>
  <sheetData>
    <row r="1" ht="19.5" customHeight="1">
      <c r="A1" s="1" t="inlineStr">
        <is>
          <t>Goatly P&amp;L</t>
        </is>
      </c>
    </row>
    <row r="3">
      <c r="A3" s="2" t="inlineStr">
        <is>
          <t>INKOOP / COG per product (vul je eigen bedragen in)</t>
        </is>
      </c>
    </row>
    <row r="4">
      <c r="A4" s="3" t="n"/>
      <c r="B4" s="4" t="inlineStr">
        <is>
          <t>P1 (1 zak)</t>
        </is>
      </c>
      <c r="C4" s="4" t="inlineStr">
        <is>
          <t>P3 (2+1)</t>
        </is>
      </c>
      <c r="D4" s="4" t="inlineStr">
        <is>
          <t>P5 (3+2)</t>
        </is>
      </c>
    </row>
    <row r="5">
      <c r="A5" s="5" t="inlineStr">
        <is>
          <t>Verkoopprijs</t>
        </is>
      </c>
      <c r="B5" s="6" t="n">
        <v>39.95</v>
      </c>
      <c r="C5" s="6" t="n">
        <v>69.95</v>
      </c>
      <c r="D5" s="6" t="n">
        <v>109.95</v>
      </c>
    </row>
    <row r="6">
      <c r="A6" s="5" t="inlineStr">
        <is>
          <t>Inkoop (COG)</t>
        </is>
      </c>
      <c r="B6" s="6" t="n">
        <v>13.34</v>
      </c>
      <c r="C6" s="6" t="n">
        <v>25.28</v>
      </c>
      <c r="D6" s="6" t="n">
        <v>37.74</v>
      </c>
    </row>
    <row r="8">
      <c r="A8" s="2" t="inlineStr">
        <is>
          <t>Fees (vul je eigen waarden in)</t>
        </is>
      </c>
    </row>
    <row r="9">
      <c r="A9" s="5" t="inlineStr">
        <is>
          <t>Adspend fee % (van adspend)</t>
        </is>
      </c>
      <c r="B9" s="7" t="n">
        <v>0.04</v>
      </c>
    </row>
    <row r="10">
      <c r="A10" s="5" t="inlineStr">
        <is>
          <t>Checkify %</t>
        </is>
      </c>
      <c r="B10" s="7" t="n">
        <v>0.0065</v>
      </c>
    </row>
    <row r="11">
      <c r="A11" s="5" t="inlineStr">
        <is>
          <t xml:space="preserve">Stripe % </t>
        </is>
      </c>
      <c r="B11" s="7" t="n">
        <v>0</v>
      </c>
    </row>
    <row r="12">
      <c r="A12" s="5" t="inlineStr">
        <is>
          <t>Stripe vast p/order</t>
        </is>
      </c>
      <c r="B12" s="6" t="n">
        <v>0.32</v>
      </c>
    </row>
    <row r="13">
      <c r="A13" s="5" t="inlineStr">
        <is>
          <t>Shopify %</t>
        </is>
      </c>
      <c r="B13" s="7" t="n">
        <v>0.005</v>
      </c>
    </row>
    <row r="16">
      <c r="A16" s="2" t="inlineStr">
        <is>
          <t>DAGELIJKSE P&amp;L</t>
        </is>
      </c>
    </row>
    <row r="17">
      <c r="A17" s="8" t="inlineStr">
        <is>
          <t>Datum</t>
        </is>
      </c>
      <c r="B17" s="8" t="inlineStr">
        <is>
          <t>Adspend</t>
        </is>
      </c>
      <c r="C17" s="8" t="inlineStr">
        <is>
          <t>Omzet</t>
        </is>
      </c>
      <c r="D17" s="8" t="inlineStr">
        <is>
          <t># Orders</t>
        </is>
      </c>
      <c r="E17" s="8" t="inlineStr">
        <is>
          <t>COG totaal</t>
        </is>
      </c>
      <c r="F17" s="8" t="inlineStr">
        <is>
          <t>Fees totaal</t>
        </is>
      </c>
      <c r="G17" s="8" t="inlineStr">
        <is>
          <t>Winst</t>
        </is>
      </c>
      <c r="H17" s="8" t="inlineStr">
        <is>
          <t>ROAS</t>
        </is>
      </c>
      <c r="I17" s="8" t="inlineStr">
        <is>
          <t>Winstmarge</t>
        </is>
      </c>
    </row>
    <row r="18">
      <c r="A18" s="9" t="n">
        <v>46357</v>
      </c>
      <c r="B18" s="6" t="n"/>
      <c r="C18" s="6" t="n"/>
      <c r="D18" s="10" t="n"/>
      <c r="E18" s="6" t="n"/>
      <c r="F18" s="11">
        <f>IFERROR(B18*$B$9 + C18*($B$10+$B$11+$B$13) + D18*$B$12,0)</f>
        <v/>
      </c>
      <c r="G18" s="11">
        <f>C18-B18-E18-F18</f>
        <v/>
      </c>
      <c r="H18" s="12">
        <f>IFERROR(C18/B18,"-")</f>
        <v/>
      </c>
      <c r="I18" s="13">
        <f>IFERROR(G18/C18,"-")</f>
        <v/>
      </c>
    </row>
    <row r="19">
      <c r="A19" s="9" t="n">
        <v>46358</v>
      </c>
      <c r="B19" s="6" t="n"/>
      <c r="C19" s="6" t="n"/>
      <c r="D19" s="10" t="n"/>
      <c r="E19" s="6" t="n"/>
      <c r="F19" s="11">
        <f>IFERROR(B19*$B$9 + C19*($B$10+$B$11+$B$13) + D19*$B$12,0)</f>
        <v/>
      </c>
      <c r="G19" s="11">
        <f>C19-B19-E19-F19</f>
        <v/>
      </c>
      <c r="H19" s="12">
        <f>IFERROR(C19/B19,"-")</f>
        <v/>
      </c>
      <c r="I19" s="13">
        <f>IFERROR(G19/C19,"-")</f>
        <v/>
      </c>
    </row>
    <row r="20">
      <c r="A20" s="9" t="n">
        <v>46359</v>
      </c>
      <c r="B20" s="6" t="n"/>
      <c r="C20" s="6" t="n"/>
      <c r="D20" s="10" t="n"/>
      <c r="E20" s="6" t="n"/>
      <c r="F20" s="11">
        <f>IFERROR(B20*$B$9 + C20*($B$10+$B$11+$B$13) + D20*$B$12,0)</f>
        <v/>
      </c>
      <c r="G20" s="11">
        <f>C20-B20-E20-F20</f>
        <v/>
      </c>
      <c r="H20" s="12">
        <f>IFERROR(C20/B20,"-")</f>
        <v/>
      </c>
      <c r="I20" s="13">
        <f>IFERROR(G20/C20,"-")</f>
        <v/>
      </c>
    </row>
    <row r="21">
      <c r="A21" s="9" t="n">
        <v>46360</v>
      </c>
      <c r="B21" s="6" t="n"/>
      <c r="C21" s="6" t="n"/>
      <c r="D21" s="10" t="n"/>
      <c r="E21" s="6" t="n"/>
      <c r="F21" s="11">
        <f>IFERROR(B21*$B$9 + C21*($B$10+$B$11+$B$13) + D21*$B$12,0)</f>
        <v/>
      </c>
      <c r="G21" s="11">
        <f>C21-B21-E21-F21</f>
        <v/>
      </c>
      <c r="H21" s="12">
        <f>IFERROR(C21/B21,"-")</f>
        <v/>
      </c>
      <c r="I21" s="13">
        <f>IFERROR(G21/C21,"-")</f>
        <v/>
      </c>
    </row>
    <row r="22">
      <c r="A22" s="9" t="n">
        <v>46361</v>
      </c>
      <c r="B22" s="6" t="n"/>
      <c r="C22" s="6" t="n"/>
      <c r="D22" s="10" t="n"/>
      <c r="E22" s="6" t="n"/>
      <c r="F22" s="11">
        <f>IFERROR(B22*$B$9 + C22*($B$10+$B$11+$B$13) + D22*$B$12,0)</f>
        <v/>
      </c>
      <c r="G22" s="11">
        <f>C22-B22-E22-F22</f>
        <v/>
      </c>
      <c r="H22" s="12">
        <f>IFERROR(C22/B22,"-")</f>
        <v/>
      </c>
      <c r="I22" s="13">
        <f>IFERROR(G22/C22,"-")</f>
        <v/>
      </c>
    </row>
    <row r="23">
      <c r="A23" s="9" t="n">
        <v>46362</v>
      </c>
      <c r="B23" s="6" t="n"/>
      <c r="C23" s="6" t="n"/>
      <c r="D23" s="10" t="n"/>
      <c r="E23" s="6" t="n"/>
      <c r="F23" s="11">
        <f>IFERROR(B23*$B$9 + C23*($B$10+$B$11+$B$13) + D23*$B$12,0)</f>
        <v/>
      </c>
      <c r="G23" s="11">
        <f>C23-B23-E23-F23</f>
        <v/>
      </c>
      <c r="H23" s="12">
        <f>IFERROR(C23/B23,"-")</f>
        <v/>
      </c>
      <c r="I23" s="13">
        <f>IFERROR(G23/C23,"-")</f>
        <v/>
      </c>
    </row>
    <row r="24">
      <c r="A24" s="9" t="n">
        <v>46363</v>
      </c>
      <c r="B24" s="6" t="n"/>
      <c r="C24" s="6" t="n"/>
      <c r="D24" s="10" t="n"/>
      <c r="E24" s="6" t="n"/>
      <c r="F24" s="11">
        <f>IFERROR(B24*$B$9 + C24*($B$10+$B$11+$B$13) + D24*$B$12,0)</f>
        <v/>
      </c>
      <c r="G24" s="11">
        <f>C24-B24-E24-F24</f>
        <v/>
      </c>
      <c r="H24" s="12">
        <f>IFERROR(C24/B24,"-")</f>
        <v/>
      </c>
      <c r="I24" s="13">
        <f>IFERROR(G24/C24,"-")</f>
        <v/>
      </c>
    </row>
    <row r="25">
      <c r="A25" s="9" t="n">
        <v>46364</v>
      </c>
      <c r="B25" s="6" t="n"/>
      <c r="C25" s="6" t="n"/>
      <c r="D25" s="10" t="n"/>
      <c r="E25" s="6" t="n"/>
      <c r="F25" s="11">
        <f>IFERROR(B25*$B$9 + C25*($B$10+$B$11+$B$13) + D25*$B$12,0)</f>
        <v/>
      </c>
      <c r="G25" s="11">
        <f>C25-B25-E25-F25</f>
        <v/>
      </c>
      <c r="H25" s="12">
        <f>IFERROR(C25/B25,"-")</f>
        <v/>
      </c>
      <c r="I25" s="13">
        <f>IFERROR(G25/C25,"-")</f>
        <v/>
      </c>
    </row>
    <row r="26">
      <c r="A26" s="9" t="n">
        <v>46365</v>
      </c>
      <c r="B26" s="6" t="n"/>
      <c r="C26" s="6" t="n"/>
      <c r="D26" s="10" t="n"/>
      <c r="E26" s="6" t="n"/>
      <c r="F26" s="11">
        <f>IFERROR(B26*$B$9 + C26*($B$10+$B$11+$B$13) + D26*$B$12,0)</f>
        <v/>
      </c>
      <c r="G26" s="11">
        <f>C26-B26-E26-F26</f>
        <v/>
      </c>
      <c r="H26" s="12">
        <f>IFERROR(C26/B26,"-")</f>
        <v/>
      </c>
      <c r="I26" s="13">
        <f>IFERROR(G26/C26,"-")</f>
        <v/>
      </c>
    </row>
    <row r="27">
      <c r="A27" s="9" t="n">
        <v>46366</v>
      </c>
      <c r="B27" s="6" t="n"/>
      <c r="C27" s="6" t="n"/>
      <c r="D27" s="10" t="n"/>
      <c r="E27" s="6" t="n"/>
      <c r="F27" s="11">
        <f>IFERROR(B27*$B$9 + C27*($B$10+$B$11+$B$13) + D27*$B$12,0)</f>
        <v/>
      </c>
      <c r="G27" s="11">
        <f>C27-B27-E27-F27</f>
        <v/>
      </c>
      <c r="H27" s="12">
        <f>IFERROR(C27/B27,"-")</f>
        <v/>
      </c>
      <c r="I27" s="13">
        <f>IFERROR(G27/C27,"-")</f>
        <v/>
      </c>
    </row>
    <row r="28">
      <c r="A28" s="9" t="n">
        <v>46367</v>
      </c>
      <c r="B28" s="6" t="n"/>
      <c r="C28" s="6" t="n"/>
      <c r="D28" s="10" t="n"/>
      <c r="E28" s="6" t="n"/>
      <c r="F28" s="11">
        <f>IFERROR(B28*$B$9 + C28*($B$10+$B$11+$B$13) + D28*$B$12,0)</f>
        <v/>
      </c>
      <c r="G28" s="11">
        <f>C28-B28-E28-F28</f>
        <v/>
      </c>
      <c r="H28" s="12">
        <f>IFERROR(C28/B28,"-")</f>
        <v/>
      </c>
      <c r="I28" s="13">
        <f>IFERROR(G28/C28,"-")</f>
        <v/>
      </c>
    </row>
    <row r="29">
      <c r="A29" s="9" t="n">
        <v>46368</v>
      </c>
      <c r="B29" s="6" t="n"/>
      <c r="C29" s="6" t="n"/>
      <c r="D29" s="10" t="n"/>
      <c r="E29" s="6" t="n"/>
      <c r="F29" s="11">
        <f>IFERROR(B29*$B$9 + C29*($B$10+$B$11+$B$13) + D29*$B$12,0)</f>
        <v/>
      </c>
      <c r="G29" s="11">
        <f>C29-B29-E29-F29</f>
        <v/>
      </c>
      <c r="H29" s="12">
        <f>IFERROR(C29/B29,"-")</f>
        <v/>
      </c>
      <c r="I29" s="13">
        <f>IFERROR(G29/C29,"-")</f>
        <v/>
      </c>
    </row>
    <row r="30">
      <c r="A30" s="9" t="n">
        <v>46369</v>
      </c>
      <c r="B30" s="6" t="n"/>
      <c r="C30" s="6" t="n"/>
      <c r="D30" s="10" t="n"/>
      <c r="E30" s="6" t="n"/>
      <c r="F30" s="11">
        <f>IFERROR(B30*$B$9 + C30*($B$10+$B$11+$B$13) + D30*$B$12,0)</f>
        <v/>
      </c>
      <c r="G30" s="11">
        <f>C30-B30-E30-F30</f>
        <v/>
      </c>
      <c r="H30" s="12">
        <f>IFERROR(C30/B30,"-")</f>
        <v/>
      </c>
      <c r="I30" s="13">
        <f>IFERROR(G30/C30,"-")</f>
        <v/>
      </c>
    </row>
    <row r="31">
      <c r="A31" s="9" t="n">
        <v>46370</v>
      </c>
      <c r="B31" s="6" t="n"/>
      <c r="C31" s="6" t="n"/>
      <c r="D31" s="10" t="n"/>
      <c r="E31" s="6" t="n"/>
      <c r="F31" s="11">
        <f>IFERROR(B31*$B$9 + C31*($B$10+$B$11+$B$13) + D31*$B$12,0)</f>
        <v/>
      </c>
      <c r="G31" s="11">
        <f>C31-B31-E31-F31</f>
        <v/>
      </c>
      <c r="H31" s="12">
        <f>IFERROR(C31/B31,"-")</f>
        <v/>
      </c>
      <c r="I31" s="13">
        <f>IFERROR(G31/C31,"-")</f>
        <v/>
      </c>
    </row>
    <row r="32">
      <c r="A32" s="9" t="n">
        <v>46371</v>
      </c>
      <c r="B32" s="6" t="n"/>
      <c r="C32" s="6" t="n"/>
      <c r="D32" s="10" t="n"/>
      <c r="E32" s="6" t="n"/>
      <c r="F32" s="11">
        <f>IFERROR(B32*$B$9 + C32*($B$10+$B$11+$B$13) + D32*$B$12,0)</f>
        <v/>
      </c>
      <c r="G32" s="11">
        <f>C32-B32-E32-F32</f>
        <v/>
      </c>
      <c r="H32" s="12">
        <f>IFERROR(C32/B32,"-")</f>
        <v/>
      </c>
      <c r="I32" s="13">
        <f>IFERROR(G32/C32,"-")</f>
        <v/>
      </c>
    </row>
    <row r="33">
      <c r="A33" s="9" t="n">
        <v>46372</v>
      </c>
      <c r="B33" s="6" t="n"/>
      <c r="C33" s="6" t="n"/>
      <c r="D33" s="10" t="n"/>
      <c r="E33" s="6" t="n"/>
      <c r="F33" s="11">
        <f>IFERROR(B33*$B$9 + C33*($B$10+$B$11+$B$13) + D33*$B$12,0)</f>
        <v/>
      </c>
      <c r="G33" s="11">
        <f>C33-B33-E33-F33</f>
        <v/>
      </c>
      <c r="H33" s="12">
        <f>IFERROR(C33/B33,"-")</f>
        <v/>
      </c>
      <c r="I33" s="13">
        <f>IFERROR(G33/C33,"-")</f>
        <v/>
      </c>
    </row>
    <row r="34">
      <c r="A34" s="9" t="n">
        <v>46373</v>
      </c>
      <c r="B34" s="6" t="n"/>
      <c r="C34" s="6" t="n"/>
      <c r="D34" s="10" t="n"/>
      <c r="E34" s="6" t="n"/>
      <c r="F34" s="11">
        <f>IFERROR(B34*$B$9 + C34*($B$10+$B$11+$B$13) + D34*$B$12,0)</f>
        <v/>
      </c>
      <c r="G34" s="11">
        <f>C34-B34-E34-F34</f>
        <v/>
      </c>
      <c r="H34" s="12">
        <f>IFERROR(C34/B34,"-")</f>
        <v/>
      </c>
      <c r="I34" s="13">
        <f>IFERROR(G34/C34,"-")</f>
        <v/>
      </c>
    </row>
    <row r="35">
      <c r="A35" s="9" t="n">
        <v>46374</v>
      </c>
      <c r="B35" s="6" t="n"/>
      <c r="C35" s="6" t="n"/>
      <c r="D35" s="10" t="n"/>
      <c r="E35" s="6" t="n"/>
      <c r="F35" s="11">
        <f>IFERROR(B35*$B$9 + C35*($B$10+$B$11+$B$13) + D35*$B$12,0)</f>
        <v/>
      </c>
      <c r="G35" s="11">
        <f>C35-B35-E35-F35</f>
        <v/>
      </c>
      <c r="H35" s="12">
        <f>IFERROR(C35/B35,"-")</f>
        <v/>
      </c>
      <c r="I35" s="13">
        <f>IFERROR(G35/C35,"-")</f>
        <v/>
      </c>
    </row>
    <row r="36">
      <c r="A36" s="9" t="n">
        <v>46375</v>
      </c>
      <c r="B36" s="6" t="n"/>
      <c r="C36" s="6" t="n"/>
      <c r="D36" s="10" t="n"/>
      <c r="E36" s="6" t="n"/>
      <c r="F36" s="11">
        <f>IFERROR(B36*$B$9 + C36*($B$10+$B$11+$B$13) + D36*$B$12,0)</f>
        <v/>
      </c>
      <c r="G36" s="11">
        <f>C36-B36-E36-F36</f>
        <v/>
      </c>
      <c r="H36" s="12">
        <f>IFERROR(C36/B36,"-")</f>
        <v/>
      </c>
      <c r="I36" s="13">
        <f>IFERROR(G36/C36,"-")</f>
        <v/>
      </c>
    </row>
    <row r="37">
      <c r="A37" s="9" t="n">
        <v>46376</v>
      </c>
      <c r="B37" s="6" t="n"/>
      <c r="C37" s="6" t="n"/>
      <c r="D37" s="10" t="n"/>
      <c r="E37" s="6" t="n"/>
      <c r="F37" s="11">
        <f>IFERROR(B37*$B$9 + C37*($B$10+$B$11+$B$13) + D37*$B$12,0)</f>
        <v/>
      </c>
      <c r="G37" s="11">
        <f>C37-B37-E37-F37</f>
        <v/>
      </c>
      <c r="H37" s="12">
        <f>IFERROR(C37/B37,"-")</f>
        <v/>
      </c>
      <c r="I37" s="13">
        <f>IFERROR(G37/C37,"-")</f>
        <v/>
      </c>
    </row>
    <row r="38">
      <c r="A38" s="9" t="n">
        <v>46377</v>
      </c>
      <c r="B38" s="6" t="n"/>
      <c r="C38" s="6" t="n"/>
      <c r="D38" s="10" t="n"/>
      <c r="E38" s="6" t="n"/>
      <c r="F38" s="11">
        <f>IFERROR(B38*$B$9 + C38*($B$10+$B$11+$B$13) + D38*$B$12,0)</f>
        <v/>
      </c>
      <c r="G38" s="11">
        <f>C38-B38-E38-F38</f>
        <v/>
      </c>
      <c r="H38" s="12">
        <f>IFERROR(C38/B38,"-")</f>
        <v/>
      </c>
      <c r="I38" s="13">
        <f>IFERROR(G38/C38,"-")</f>
        <v/>
      </c>
    </row>
    <row r="39">
      <c r="A39" s="9" t="n">
        <v>46378</v>
      </c>
      <c r="B39" s="6" t="n"/>
      <c r="C39" s="6" t="n"/>
      <c r="D39" s="10" t="n"/>
      <c r="E39" s="6" t="n"/>
      <c r="F39" s="11">
        <f>IFERROR(B39*$B$9 + C39*($B$10+$B$11+$B$13) + D39*$B$12,0)</f>
        <v/>
      </c>
      <c r="G39" s="11">
        <f>C39-B39-E39-F39</f>
        <v/>
      </c>
      <c r="H39" s="12">
        <f>IFERROR(C39/B39,"-")</f>
        <v/>
      </c>
      <c r="I39" s="13">
        <f>IFERROR(G39/C39,"-")</f>
        <v/>
      </c>
    </row>
    <row r="40">
      <c r="A40" s="9" t="n">
        <v>46379</v>
      </c>
      <c r="B40" s="6" t="n"/>
      <c r="C40" s="6" t="n"/>
      <c r="D40" s="10" t="n"/>
      <c r="E40" s="6" t="n"/>
      <c r="F40" s="11">
        <f>IFERROR(B40*$B$9 + C40*($B$10+$B$11+$B$13) + D40*$B$12,0)</f>
        <v/>
      </c>
      <c r="G40" s="11">
        <f>C40-B40-E40-F40</f>
        <v/>
      </c>
      <c r="H40" s="12">
        <f>IFERROR(C40/B40,"-")</f>
        <v/>
      </c>
      <c r="I40" s="13">
        <f>IFERROR(G40/C40,"-")</f>
        <v/>
      </c>
    </row>
    <row r="41">
      <c r="A41" s="9" t="n">
        <v>46380</v>
      </c>
      <c r="B41" s="6" t="n"/>
      <c r="C41" s="6" t="n"/>
      <c r="D41" s="10" t="n"/>
      <c r="E41" s="6" t="n"/>
      <c r="F41" s="11">
        <f>IFERROR(B41*$B$9 + C41*($B$10+$B$11+$B$13) + D41*$B$12,0)</f>
        <v/>
      </c>
      <c r="G41" s="11">
        <f>C41-B41-E41-F41</f>
        <v/>
      </c>
      <c r="H41" s="12">
        <f>IFERROR(C41/B41,"-")</f>
        <v/>
      </c>
      <c r="I41" s="13">
        <f>IFERROR(G41/C41,"-")</f>
        <v/>
      </c>
    </row>
    <row r="42">
      <c r="A42" s="9" t="n">
        <v>46381</v>
      </c>
      <c r="B42" s="6" t="n"/>
      <c r="C42" s="6" t="n"/>
      <c r="D42" s="10" t="n"/>
      <c r="E42" s="6" t="n"/>
      <c r="F42" s="11">
        <f>IFERROR(B42*$B$9 + C42*($B$10+$B$11+$B$13) + D42*$B$12,0)</f>
        <v/>
      </c>
      <c r="G42" s="11">
        <f>C42-B42-E42-F42</f>
        <v/>
      </c>
      <c r="H42" s="12">
        <f>IFERROR(C42/B42,"-")</f>
        <v/>
      </c>
      <c r="I42" s="13">
        <f>IFERROR(G42/C42,"-")</f>
        <v/>
      </c>
    </row>
    <row r="43">
      <c r="A43" s="9" t="n">
        <v>46382</v>
      </c>
      <c r="B43" s="6" t="n"/>
      <c r="C43" s="6" t="n"/>
      <c r="D43" s="10" t="n"/>
      <c r="E43" s="6" t="n"/>
      <c r="F43" s="11">
        <f>IFERROR(B43*$B$9 + C43*($B$10+$B$11+$B$13) + D43*$B$12,0)</f>
        <v/>
      </c>
      <c r="G43" s="11">
        <f>C43-B43-E43-F43</f>
        <v/>
      </c>
      <c r="H43" s="12">
        <f>IFERROR(C43/B43,"-")</f>
        <v/>
      </c>
      <c r="I43" s="13">
        <f>IFERROR(G43/C43,"-")</f>
        <v/>
      </c>
    </row>
    <row r="44">
      <c r="A44" s="9" t="n">
        <v>46383</v>
      </c>
      <c r="B44" s="6" t="n"/>
      <c r="C44" s="6" t="n"/>
      <c r="D44" s="10" t="n"/>
      <c r="E44" s="6" t="n"/>
      <c r="F44" s="11">
        <f>IFERROR(B44*$B$9 + C44*($B$10+$B$11+$B$13) + D44*$B$12,0)</f>
        <v/>
      </c>
      <c r="G44" s="11">
        <f>C44-B44-E44-F44</f>
        <v/>
      </c>
      <c r="H44" s="12">
        <f>IFERROR(C44/B44,"-")</f>
        <v/>
      </c>
      <c r="I44" s="13">
        <f>IFERROR(G44/C44,"-")</f>
        <v/>
      </c>
    </row>
    <row r="45">
      <c r="A45" s="9" t="n">
        <v>46384</v>
      </c>
      <c r="B45" s="6" t="n"/>
      <c r="C45" s="6" t="n"/>
      <c r="D45" s="10" t="n"/>
      <c r="E45" s="6" t="n"/>
      <c r="F45" s="11">
        <f>IFERROR(B45*$B$9 + C45*($B$10+$B$11+$B$13) + D45*$B$12,0)</f>
        <v/>
      </c>
      <c r="G45" s="11">
        <f>C45-B45-E45-F45</f>
        <v/>
      </c>
      <c r="H45" s="12">
        <f>IFERROR(C45/B45,"-")</f>
        <v/>
      </c>
      <c r="I45" s="13">
        <f>IFERROR(G45/C45,"-")</f>
        <v/>
      </c>
    </row>
    <row r="46">
      <c r="A46" s="9" t="n">
        <v>46385</v>
      </c>
      <c r="B46" s="6" t="n"/>
      <c r="C46" s="6" t="n"/>
      <c r="D46" s="10" t="n"/>
      <c r="E46" s="6" t="n"/>
      <c r="F46" s="11">
        <f>IFERROR(B46*$B$9 + C46*($B$10+$B$11+$B$13) + D46*$B$12,0)</f>
        <v/>
      </c>
      <c r="G46" s="11">
        <f>C46-B46-E46-F46</f>
        <v/>
      </c>
      <c r="H46" s="12">
        <f>IFERROR(C46/B46,"-")</f>
        <v/>
      </c>
      <c r="I46" s="13">
        <f>IFERROR(G46/C46,"-")</f>
        <v/>
      </c>
    </row>
    <row r="47">
      <c r="A47" s="9" t="n">
        <v>46386</v>
      </c>
      <c r="B47" s="6" t="n"/>
      <c r="C47" s="6" t="n"/>
      <c r="D47" s="10" t="n"/>
      <c r="E47" s="6" t="n"/>
      <c r="F47" s="11">
        <f>IFERROR(B47*$B$9 + C47*($B$10+$B$11+$B$13) + D47*$B$12,0)</f>
        <v/>
      </c>
      <c r="G47" s="11">
        <f>C47-B47-E47-F47</f>
        <v/>
      </c>
      <c r="H47" s="12">
        <f>IFERROR(C47/B47,"-")</f>
        <v/>
      </c>
      <c r="I47" s="13">
        <f>IFERROR(G47/C47,"-")</f>
        <v/>
      </c>
    </row>
    <row r="48">
      <c r="A48" s="9" t="n">
        <v>46387</v>
      </c>
      <c r="B48" s="6" t="n"/>
      <c r="C48" s="6" t="n"/>
      <c r="D48" s="10" t="n"/>
      <c r="E48" s="6" t="n"/>
      <c r="F48" s="11">
        <f>IFERROR(B48*$B$9 + C48*($B$10+$B$11+$B$13) + D48*$B$12,0)</f>
        <v/>
      </c>
      <c r="G48" s="11">
        <f>C48-B48-E48-F48</f>
        <v/>
      </c>
      <c r="H48" s="12">
        <f>IFERROR(C48/B48,"-")</f>
        <v/>
      </c>
      <c r="I48" s="13">
        <f>IFERROR(G48/C48,"-")</f>
        <v/>
      </c>
    </row>
    <row r="49">
      <c r="A49" s="14" t="inlineStr">
        <is>
          <t>TOTAAL</t>
        </is>
      </c>
      <c r="B49" s="15">
        <f>SUM(B18:B48)</f>
        <v/>
      </c>
      <c r="C49" s="15">
        <f>SUM(C18:C48)</f>
        <v/>
      </c>
      <c r="D49" s="16">
        <f>SUM(D18:D48)</f>
        <v/>
      </c>
      <c r="E49" s="15">
        <f>SUM(E18:E48)</f>
        <v/>
      </c>
      <c r="F49" s="15">
        <f>SUM(F18:F48)</f>
        <v/>
      </c>
      <c r="G49" s="15">
        <f>SUM(G18:G48)</f>
        <v/>
      </c>
      <c r="H49" s="17">
        <f>IFERROR(C49/B49,"-")</f>
        <v/>
      </c>
      <c r="I49" s="18">
        <f>IFERROR(G49/C49,"-")</f>
        <v/>
      </c>
    </row>
    <row r="51">
      <c r="A51" s="19" t="inlineStr">
        <is>
          <t>Geel = zelf invullen. Vul per dag Adspend, Omzet, #Orders en COG totaal in. Adspend fee = 4% van de adspend. Fees, Winst, ROAS en Winstmarge rekenen automatisch.</t>
        </is>
      </c>
    </row>
  </sheetData>
  <mergeCells count="5">
    <mergeCell ref="A3:H3"/>
    <mergeCell ref="A51:I51"/>
    <mergeCell ref="A1:H1"/>
    <mergeCell ref="A8:H8"/>
    <mergeCell ref="A16:I16"/>
  </mergeCells>
  <conditionalFormatting sqref="G18:G4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18:I49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2026-06-26T04:09:36Z</dcterms:created>
  <dcterms:modified xmlns:dcterms="http://purl.org/dc/terms/" xmlns:xsi="http://www.w3.org/2001/XMLSchema-instance" xsi:type="dcterms:W3CDTF">2026-06-26T04:09:36Z</dcterms:modified>
</cp:coreProperties>
</file>